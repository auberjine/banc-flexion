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aretes cassees : MICROBILLAGE puis BRUNISSAGE noir (oxydation a chaud), aspect mat ; huile de protection legere, ESSUYEE avant la premiere chauffe (elle fume a 150 C) ; traits de graduation repasses a la peinture blanche haute temperature apres brunissage. Noir mat pour la correlation d images, et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28" customWidth="1" min="2" max="2"/>
    <col width="8" customWidth="1" min="3" max="3"/>
    <col width="19" customWidth="1" min="4" max="4"/>
    <col width="44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10.206</v>
      </c>
      <c r="G4" s="7">
        <f>C4*F4</f>
        <v/>
      </c>
      <c r="H4" s="6" t="inlineStr">
        <is>
          <t>decoupe laser, aretes cassees 0,8 x 45 deg,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aretes cassees : MICROBILLAGE puis BRUNISSAGE noir (oxydation a chaud), aspect mat ; huile de protection legere, ESSUYEE avant la premiere chauffe (elle fume a 150 C) ; traits de graduation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0.256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0.325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65 x 45, L 120 (fini 61 x 40 x 114,5)</t>
        </is>
      </c>
      <c r="F9" s="7" t="n">
        <v>1.377</v>
      </c>
      <c r="G9" s="7">
        <f>C9*F9</f>
        <v/>
      </c>
      <c r="H9" s="6" t="inlineStr">
        <is>
          <t>acier taraude M16 sur 80 depuis le bout EPAIS, passage 18 au dela ; porte les deux plaques de frottement du commerce entre rebords de 3 : dessus 6,25, dessous 7,36 (faces normales a la pente)</t>
        </is>
      </c>
    </row>
    <row r="10">
      <c r="A10" s="6" t="inlineStr">
        <is>
          <t>07</t>
        </is>
      </c>
      <c r="B10" s="6" t="inlineStr">
        <is>
          <t>Platine de butee de la vis</t>
        </is>
      </c>
      <c r="C10" s="6" t="n">
        <v>2</v>
      </c>
      <c r="D10" s="6" t="inlineStr">
        <is>
          <t>42CrMo4 +A</t>
        </is>
      </c>
      <c r="E10" s="6" t="inlineStr">
        <is>
          <t>tole 8 mm, cert. 3.1, Re &gt;= 430</t>
        </is>
      </c>
      <c r="F10" s="7" t="n">
        <v>0.451</v>
      </c>
      <c r="G10" s="7">
        <f>C10*F10</f>
        <v/>
      </c>
      <c r="H10" s="6" t="inlineStr">
        <is>
          <t>meme tole 42CrMo4 que les flancs (imbriquees dans leurs chutes), empilees et serrees par les deux vis H M10 x 200 de la chape</t>
        </is>
      </c>
    </row>
    <row r="11">
      <c r="A11" s="6" t="inlineStr">
        <is>
          <t>07b</t>
        </is>
      </c>
      <c r="B11" s="6" t="inlineStr">
        <is>
          <t>Entretoise de butee</t>
        </is>
      </c>
      <c r="C11" s="6" t="n">
        <v>2</v>
      </c>
      <c r="D11" s="6" t="inlineStr">
        <is>
          <t>E235+C EN 10305-1</t>
        </is>
      </c>
      <c r="E11" s="6" t="inlineStr">
        <is>
          <t>tube de precision 20 x 2</t>
        </is>
      </c>
      <c r="F11" s="7" t="n">
        <v>0.063</v>
      </c>
      <c r="G11" s="7">
        <f>C11*F11</f>
        <v/>
      </c>
      <c r="H11" s="6" t="inlineStr">
        <is>
          <t>coupee a 71,5 +/-0,2, faces dressees ; en compression pure : c est elle qui porte l effort de commande</t>
        </is>
      </c>
    </row>
    <row r="12">
      <c r="A12" s="6" t="inlineStr">
        <is>
          <t>04a</t>
        </is>
      </c>
      <c r="B12" s="6" t="inlineStr">
        <is>
          <t>Patin d'appui rainure</t>
        </is>
      </c>
      <c r="C12" s="6" t="n">
        <v>4</v>
      </c>
      <c r="D12" s="6" t="inlineStr">
        <is>
          <t>S355JR</t>
        </is>
      </c>
      <c r="E12" s="6" t="inlineStr">
        <is>
          <t>tole 10 mm</t>
        </is>
      </c>
      <c r="F12" s="7" t="n">
        <v>0.129</v>
      </c>
      <c r="G12" s="7">
        <f>C12*F12</f>
        <v/>
      </c>
      <c r="H12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3">
      <c r="A13" s="6" t="inlineStr">
        <is>
          <t>04b</t>
        </is>
      </c>
      <c r="B13" s="6" t="inlineStr">
        <is>
          <t>Patin de charge</t>
        </is>
      </c>
      <c r="C13" s="6" t="n">
        <v>1</v>
      </c>
      <c r="D13" s="6" t="inlineStr">
        <is>
          <t>S355JR</t>
        </is>
      </c>
      <c r="E13" s="6" t="inlineStr">
        <is>
          <t>tole 10 mm</t>
        </is>
      </c>
      <c r="F13" s="7" t="n">
        <v>0.446</v>
      </c>
      <c r="G13" s="7">
        <f>C13*F13</f>
        <v/>
      </c>
      <c r="H13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4">
      <c r="A14" s="6" t="inlineStr">
        <is>
          <t>06b</t>
        </is>
      </c>
      <c r="B14" s="6" t="inlineStr">
        <is>
          <t>Entretoise tubulaire</t>
        </is>
      </c>
      <c r="C14" s="6" t="n">
        <v>9</v>
      </c>
      <c r="D14" s="6" t="inlineStr">
        <is>
          <t>E235+C EN 10305-1</t>
        </is>
      </c>
      <c r="E14" s="6" t="inlineStr">
        <is>
          <t>tube de precision 20 x 2</t>
        </is>
      </c>
      <c r="F14" s="7" t="n">
        <v>0.053</v>
      </c>
      <c r="G14" s="7">
        <f>C14*F14</f>
        <v/>
      </c>
      <c r="H14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5">
      <c r="A15" s="6" t="inlineStr">
        <is>
          <t>05</t>
        </is>
      </c>
      <c r="B15" s="6" t="inlineStr">
        <is>
          <t>Pied a mi-bois</t>
        </is>
      </c>
      <c r="C15" s="6" t="n">
        <v>4</v>
      </c>
      <c r="D15" s="6" t="inlineStr">
        <is>
          <t>S355JR</t>
        </is>
      </c>
      <c r="E15" s="6" t="inlineStr">
        <is>
          <t>tole 8 mm, cert. 2.2</t>
        </is>
      </c>
      <c r="F15" s="7" t="n">
        <v>0.87</v>
      </c>
      <c r="G15" s="7">
        <f>C15*F15</f>
        <v/>
      </c>
      <c r="H15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6">
      <c r="A16" s="6" t="inlineStr">
        <is>
          <t>05c</t>
        </is>
      </c>
      <c r="B16" s="6" t="inlineStr">
        <is>
          <t>Crochet d etuve</t>
        </is>
      </c>
      <c r="C16" s="6" t="n">
        <v>4</v>
      </c>
      <c r="D16" s="6" t="inlineStr">
        <is>
          <t>S355JR</t>
        </is>
      </c>
      <c r="E16" s="6" t="inlineStr">
        <is>
          <t>tole 8 mm, cert. 2.2</t>
        </is>
      </c>
      <c r="F16" s="7" t="n">
        <v>0.173</v>
      </c>
      <c r="G16" s="7">
        <f>C16*F16</f>
        <v/>
      </c>
      <c r="H16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7">
      <c r="A17" s="8" t="n"/>
      <c r="B17" s="8" t="n"/>
      <c r="C17" s="8" t="n"/>
      <c r="D17" s="8" t="n"/>
      <c r="E17" s="8" t="n"/>
      <c r="F17" s="9" t="inlineStr">
        <is>
          <t>total</t>
        </is>
      </c>
      <c r="G17" s="10">
        <f>SUM(G4:G16)</f>
        <v/>
      </c>
      <c r="H17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52" customWidth="1" min="4" max="4"/>
    <col width="30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06c</t>
        </is>
      </c>
      <c r="B5" s="6" t="inlineStr">
        <is>
          <t>Plaque de frottement, dessus</t>
        </is>
      </c>
      <c r="C5" s="6" t="n">
        <v>1</v>
      </c>
      <c r="D5" s="6" t="inlineStr">
        <is>
          <t>norelem 23765-01-038100, 38 x 100 x 5</t>
        </is>
      </c>
      <c r="E5" s="6" t="inlineStr">
        <is>
          <t>CuZn25Al5Mn4Fe3-C + graphite</t>
        </is>
      </c>
      <c r="F5" s="7" t="n">
        <v>0.148</v>
      </c>
      <c r="G5" s="6" t="inlineStr">
        <is>
          <t>piece du commerce, autolubrifiante ; entre ses deux rebords sur le dessus du coin, trous remplis de silicone HT, glisse sous la traverse</t>
        </is>
      </c>
    </row>
    <row r="6">
      <c r="A6" s="6" t="inlineStr">
        <is>
          <t>06d</t>
        </is>
      </c>
      <c r="B6" s="6" t="inlineStr">
        <is>
          <t>Plaque de frottement, dessous</t>
        </is>
      </c>
      <c r="C6" s="6" t="n">
        <v>1</v>
      </c>
      <c r="D6" s="6" t="inlineStr">
        <is>
          <t>norelem 23765-01-038100, 38 x 100 x 5</t>
        </is>
      </c>
      <c r="E6" s="6" t="inlineStr">
        <is>
          <t>CuZn25Al5Mn4Fe3-C + graphite</t>
        </is>
      </c>
      <c r="F6" s="7" t="n">
        <v>0.148</v>
      </c>
      <c r="G6" s="6" t="inlineStr">
        <is>
          <t>meme plaque du commerce ; entre ses deux rebords sous le coin, trous remplis de silicone HT, glisse sur la pente du coulisseau</t>
        </is>
      </c>
    </row>
    <row r="7">
      <c r="A7" s="6" t="inlineStr">
        <is>
          <t>02d</t>
        </is>
      </c>
      <c r="B7" s="6" t="inlineStr">
        <is>
          <t>Tige filetee de commande M16</t>
        </is>
      </c>
      <c r="C7" s="6" t="n">
        <v>1</v>
      </c>
      <c r="D7" s="6" t="inlineStr">
        <is>
          <t>tige filetee M16 classe 8.8, coupee a 185</t>
        </is>
      </c>
      <c r="E7" s="6" t="inlineStr">
        <is>
          <t>8.8</t>
        </is>
      </c>
      <c r="F7" s="7" t="n">
        <v>0.407</v>
      </c>
      <c r="G7" s="6" t="inlineStr">
        <is>
          <t>piece du commerce, coupee a longueur, montee a la pate cuivre ; ecrous et butee figures : ils montrent l arret axial dans les deux sens</t>
        </is>
      </c>
    </row>
    <row r="8">
      <c r="A8" s="6" t="inlineStr">
        <is>
          <t>04c</t>
        </is>
      </c>
      <c r="B8" s="6" t="inlineStr">
        <is>
          <t>Plat de renfort colle</t>
        </is>
      </c>
      <c r="C8" s="6" t="n">
        <v>2</v>
      </c>
      <c r="D8" s="6" t="inlineStr">
        <is>
          <t>feuillard 20 x 2 S235, coupe a 840</t>
        </is>
      </c>
      <c r="E8" s="6" t="inlineStr">
        <is>
          <t>S235</t>
        </is>
      </c>
      <c r="F8" s="7" t="n">
        <v>0.26</v>
      </c>
      <c r="G8" s="6" t="inlineStr">
        <is>
          <t>piece du commerce, coupee a longueur, bavures retirees ; collee sur toute la longueur a y = +/- 34, poncer et degraisser les deux faces ; un jeu par eprouvette</t>
        </is>
      </c>
    </row>
    <row r="9">
      <c r="A9" s="6" t="inlineStr">
        <is>
          <t>02e</t>
        </is>
      </c>
      <c r="B9" s="6" t="inlineStr">
        <is>
          <t>Pile de 12 rondelles Belleville</t>
        </is>
      </c>
      <c r="C9" s="6" t="n">
        <v>1</v>
      </c>
      <c r="D9" s="6" t="inlineStr">
        <is>
          <t>12 rondelles EN 16983 A50</t>
        </is>
      </c>
      <c r="E9" s="6" t="inlineStr">
        <is>
          <t>51CrV4 (1.8159)</t>
        </is>
      </c>
      <c r="F9" s="7" t="n">
        <v>0.412</v>
      </c>
      <c r="G9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10"/>
    <row r="11">
      <c r="A11" s="2" t="inlineStr">
        <is>
          <t>Masse du cadre complet : 34.4 kg. Poutrelle beton : 22.2 kg. Masses du modele 3D (out/masses.json du 06/10/2026).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4014 8.8 zinguee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 : l ecrou tombe sur le filet avec 6 de marge, la vis en depasse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Tige filetee M10 x 90 classe 8.8 + 2 rondelles ISO 7089 M10 + 2 ecrous ISO 7042 classe 8, autofreine tout metal</t>
        </is>
      </c>
      <c r="C5" s="6" t="n">
        <v>1</v>
      </c>
      <c r="D5" s="6" t="inlineStr">
        <is>
          <t>tirant du paquet de plaques de traverse, ne reprend aucune charge. Serrage 52, depasse de 9 a chaque bout. Tole mesuree au dela de 10 : prendre une M10 x 100 (verifie() le signale)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V8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Butee a aiguilles AXK 1730 + 2 rondelles AS 1730</t>
        </is>
      </c>
      <c r="C9" s="6" t="n">
        <v>1</v>
      </c>
      <c r="D9" s="6" t="inlineStr">
        <is>
          <t>face EXTERIEURE des platines : c est elle qui encaisse les 5.5 kN de commande</t>
        </is>
      </c>
    </row>
    <row r="10">
      <c r="A10" s="6" t="inlineStr">
        <is>
          <t>V7</t>
        </is>
      </c>
      <c r="B10" s="6" t="inlineStr">
        <is>
          <t>Ecrou M16 H ISO 4032 classe 8 + ecrou M16 HM ISO 4035, bloques</t>
        </is>
      </c>
      <c r="C10" s="6" t="n">
        <v>1</v>
      </c>
      <c r="D10" s="6" t="inlineStr">
        <is>
          <t>tete de manoeuvre, 22,8 de haut, en appui sur la butee a aiguilles. Douille de 24 et cliquet : une cle plate bute sur les bouts des vis V9</t>
        </is>
      </c>
    </row>
    <row r="11">
      <c r="A11" s="6" t="inlineStr">
        <is>
          <t>V8</t>
        </is>
      </c>
      <c r="B11" s="6" t="inlineStr">
        <is>
          <t>Ecrou M16 HM ISO 4035</t>
        </is>
      </c>
      <c r="C11" s="6" t="n">
        <v>2</v>
      </c>
      <c r="D11" s="6" t="inlineStr">
        <is>
          <t>bloques l un sur l autre cote interieur des platines, sur les rondelles V5, avec 0,1 a 0,3 de jeu axial : ils ne retiennent la tige qu au desserrage, 329 N</t>
        </is>
      </c>
    </row>
    <row r="12">
      <c r="A12" s="6" t="inlineStr">
        <is>
          <t>V9</t>
        </is>
      </c>
      <c r="B12" s="6" t="inlineStr">
        <is>
          <t>Vis H M10 x 200 ISO 4014 8.8 zinguee (filetee sur 32) + 2 ecrous H M10 ISO 4032 classe 8 + 5 rondelles ISO 7089 M10</t>
        </is>
      </c>
      <c r="C12" s="6" t="n">
        <v>2</v>
      </c>
      <c r="D12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tige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9.4 N.m</t>
        </is>
      </c>
    </row>
    <row r="17">
      <c r="A17" s="6" t="inlineStr">
        <is>
          <t>Couple de serrage des vis M10 (V1, V9)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norelem 23765-01-038100, 38 x 100 x 5, CuZn25Al5Mn4Fe3-C + graphite ; 7.7 MPa au plus pour 35 admis</t>
        </is>
      </c>
    </row>
    <row r="22">
      <c r="A22" s="6" t="inlineStr">
        <is>
          <t>Rebords des plaquettes</t>
        </is>
      </c>
      <c r="B22" s="6" t="inlineStr">
        <is>
          <t>6.25 (dessus) et 7.36 (dessous) x 3, 8.3 MPa de flexion, garde 2 sous le bronze</t>
        </is>
      </c>
    </row>
    <row r="23">
      <c r="A23" s="6" t="inlineStr">
        <is>
          <t>Portee de la plaquette haute</t>
        </is>
      </c>
      <c r="B23" s="6" t="inlineStr">
        <is>
          <t>30.0 x 51.8 mm (sur 60) en fin de course, 7.7 MPa</t>
        </is>
      </c>
    </row>
    <row r="24">
      <c r="A24" s="6" t="inlineStr">
        <is>
          <t>Portee de la plaquette basse</t>
        </is>
      </c>
      <c r="B24" s="6" t="inlineStr">
        <is>
          <t>38.0 x 48.6 mm (sur 58) en fin de course, 6.5 MPa</t>
        </is>
      </c>
    </row>
    <row r="25">
      <c r="A25" s="6" t="inlineStr">
        <is>
          <t>Arete cassee des pieces de tole</t>
        </is>
      </c>
      <c r="B25" s="6" t="inlineStr">
        <is>
          <t>0.8 x 45 degres sur les deux faces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Degraisser les deux sieges ; poser chaque plaque de frottement ENTRE SES DEUX REBORDS, trous remplis et quelques points de silicone haute temperature -- PAS d epoxy, bronze et acier ne se dilatent pas pareil ; laisser prendre. Aucune pate sur les plaques ni sur les sieges : elles sont autolubrifiantes, et le silicone ne prend pas sur une pate.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tige M16, visser par son bout exterieur l ecrou H et l ecrou HM de manoeuvre (V7), bloques a 2,7 du bout ; enfiler par l autre bout une rondelle AS, la butee AXK 1730 et la seconde AS (V6), les deux platines, les deux rondelles trempees (V5), puis visser les deux ecrous HM (V8) : 0,1 a 0,3 mm de jeu axial, contre-bloquer. Pate cuivre sur le filet de la tige.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V9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la tige V2 (rondelles et ecrous ISO 7042) ; chants fraises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V9 les entretoises de butee de 71,5, puis le sous-ensemble de chape, la tige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V9, bout MINCE en premier, par la fente du flanc, entre la traverse et le coulisseau ; visser la tige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tige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tige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9,9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tige jusqu a liberer la pile, puis jusqu a degager le filet ; sortir le coin du cote des tetes de V9.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V9, le sous-ensemble de chape d un bloc (platines et tige),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2026-10-06T16:27:48Z</dcterms:created>
  <dcterms:modified xsi:type="dcterms:W3CDTF">2026-10-06T16:27:48Z</dcterms:modified>
</cp:coreProperties>
</file>