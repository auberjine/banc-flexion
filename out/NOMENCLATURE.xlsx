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ieces fabriquees" sheetId="2" state="visible" r:id="rId2"/>
    <sheet name="Pieces du commerce" sheetId="3" state="visible" r:id="rId3"/>
    <sheet name="Visserie" sheetId="4" state="visible" r:id="rId4"/>
    <sheet name="DXF a decouper" sheetId="5" state="visible" r:id="rId5"/>
    <sheet name="Reglages" sheetId="6" state="visible" r:id="rId6"/>
    <sheet name="Mont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kg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Banc de flexion 3 points - nomenclature</t>
        </is>
      </c>
    </row>
    <row r="2">
      <c r="A2" s="2" t="inlineStr">
        <is>
          <t>Genere depuis NOMENCLATURE.md par nomenclature_xlsx.py : modifier le modele (params.py) et relancer make.py plutot que ce classeur.</t>
        </is>
      </c>
    </row>
    <row r="4">
      <c r="A4" s="3" t="inlineStr">
        <is>
          <t>Indice B du 05/10/2026. Fichier engendre par nomenclature.py ; ne pas le modifier a la main.</t>
        </is>
      </c>
    </row>
    <row r="5">
      <c r="A5" s="3" t="inlineStr">
        <is>
          <t>Poutrelle beton non arme 103 x 107 x 840, portee 750, capacite 12 kN.</t>
        </is>
      </c>
    </row>
    <row r="6">
      <c r="A6" s="3" t="inlineStr">
        <is>
          <t>Encombrement des flancs 960 x 440 x 76 mm ; selon y, de -85,5 (coin recule) a +160 (bout des vis de chape), soit 245,5 ; pieds de 518.4.</t>
        </is>
      </c>
    </row>
    <row r="8">
      <c r="A8" s="4" t="inlineStr">
        <is>
          <t>Exigences de commande</t>
        </is>
      </c>
    </row>
    <row r="9">
      <c r="A9" s="3" t="inlineStr">
        <is>
          <t>Tole de 8 en 42CrMo4** (flancs, platines de butee imbriquees dans les chutes des flancs) : 42CrMo4 recuit +A, tole 8 mm : certificat 3.1 EN 10204 avec essai de traction, Re &gt;= 430 MPa a 20 C. C est elle qui porte toute la marge du flanc. Les cartouches et la colonne brut l abregent en "tole 8 mm, cert. 3.1, Re &gt;= 430".</t>
        </is>
      </c>
    </row>
    <row r="10">
      <c r="A10" s="3" t="inlineStr">
        <is>
          <t>Tole de 8 en S355JR** (pieds, crochets, plaques de traverse, plateaux du poussoir) : S355JR, tole 8 mm du commerce : certificat 2.2 EN 10204, sans autre exigence ; abregee en "tole 8 mm, cert. 2.2". Ces pieces travaillent a quelques dizaines de MPa au plus (traverse 8 MPa en flexion et 26 au matage).</t>
        </is>
      </c>
    </row>
    <row r="11">
      <c r="A11" s="3" t="inlineStr">
        <is>
          <t>Finition des flancs** : apres decoupe et ebavurage : SABLAGE corindon des deux faces a l identique, pression moderee (planeite), puis BRUNISSAGE noir (oxydation a chaud), aspect mat ; degraisser l huile de sortie de bain, puis film d huile ESTER synthetique haute temperature passe au chiffon et ESSUYE ; ni huile minerale ni silicone ; graduation gravee a 0.2 de profondeur au moins, traits repasses a la peinture blanche haute temperature apres brunissage. Noir mat pour la correlation d images, et quasi sans epaisseur : ni les jeux des encoches ni les serrages des entretoises n en dependent. Les autres pieces restent brutes.</t>
        </is>
      </c>
    </row>
    <row r="12">
      <c r="A12" s="3" t="inlineStr">
        <is>
          <t>Epaisseurs reelles** : mesurer les deux toles livrees, regler EP_TOLE_REELLE_42 (42CrMo4) et EP_TOLE_REELLE_S355 (S355JR) et regenerer les DXF avant decoupe. Chaque decoupe suit la tole qu elle RECOIT : EP_TOLE_REELLE_S355 (8 aujourd hui) pour les encoches a mi-bois et la mortaise de traverse du flanc et les fentes de calage du pied ; EP_TOLE_REELLE_42 (8) pour les encoches et nodes du pied et les rainures des patins.</t>
        </is>
      </c>
    </row>
    <row r="13">
      <c r="A13" s="3" t="inlineStr">
        <is>
          <t>Entretoises** : E235+C EN 10305-1, tube de precision 20 x 2 ; 9 coupees a 60 +0,1/0 et 2 a 71,5 +/-0,2, faces dressees // 0,05 : ce sont elles qui fixent l ecart des flancs.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8" customWidth="1" min="3" max="3"/>
    <col width="19" customWidth="1" min="4" max="4"/>
    <col width="46" customWidth="1" min="5" max="5"/>
    <col width="10" customWidth="1" min="6" max="6"/>
    <col width="14" customWidth="1" min="7" max="7"/>
    <col width="70" customWidth="1" min="8" max="8"/>
  </cols>
  <sheetData>
    <row r="1">
      <c r="A1" s="1" t="inlineStr">
        <is>
          <t>Pieces fabriquees</t>
        </is>
      </c>
    </row>
    <row r="2"/>
    <row r="3">
      <c r="A3" s="5" t="inlineStr">
        <is>
          <t>rep</t>
        </is>
      </c>
      <c r="B3" s="5" t="inlineStr">
        <is>
          <t>designation</t>
        </is>
      </c>
      <c r="C3" s="5" t="inlineStr">
        <is>
          <t>qte</t>
        </is>
      </c>
      <c r="D3" s="5" t="inlineStr">
        <is>
          <t>matiere</t>
        </is>
      </c>
      <c r="E3" s="5" t="inlineStr">
        <is>
          <t>brut</t>
        </is>
      </c>
      <c r="F3" s="5" t="inlineStr">
        <is>
          <t>masse u.</t>
        </is>
      </c>
      <c r="G3" s="5" t="inlineStr">
        <is>
          <t>masse tot.</t>
        </is>
      </c>
      <c r="H3" s="5" t="inlineStr">
        <is>
          <t>operations</t>
        </is>
      </c>
    </row>
    <row r="4">
      <c r="A4" s="6" t="inlineStr">
        <is>
          <t>01</t>
        </is>
      </c>
      <c r="B4" s="6" t="inlineStr">
        <is>
          <t>Flanc en treillis</t>
        </is>
      </c>
      <c r="C4" s="6" t="n">
        <v>2</v>
      </c>
      <c r="D4" s="6" t="inlineStr">
        <is>
          <t>42CrMo4 +A</t>
        </is>
      </c>
      <c r="E4" s="6" t="inlineStr">
        <is>
          <t>tole 8 mm, cert. 3.1, Re &gt;= 430</t>
        </is>
      </c>
      <c r="F4" s="7" t="n">
        <v>10.242</v>
      </c>
      <c r="G4" s="7">
        <f>C4*F4</f>
        <v/>
      </c>
      <c r="H4" s="6" t="inlineStr">
        <is>
          <t>decoupe laser, aretes ebavurees (pas de chanfrein), bossages non repris ; encoches a mi-bois et mortaise taillees sur la tole REELLE S355 des pieces qu elles recoivent : mesurer les deux toles livrees, regler EP_TOLE_REELLE_42 (42CrMo4) et EP_TOLE_REELLE_S355 (S355JR) et regenerer les DXF avant decoupe ; graduation de charge gravee (calque GRAVURE) d un seul cote de la lumiere, face gravee montee a l exterieur ; finition : apres decoupe et ebavurage : SABLAGE corindon des deux faces a l identique, pression moderee (planeite), puis BRUNISSAGE noir (oxydation a chaud), aspect mat ; degraisser l huile de sortie de bain, puis film d huile ESTER synthetique haute temperature passe au chiffon et ESSUYE ; ni huile minerale ni silicone ; graduation gravee a 0.2 de profondeur au moins, traits repasses a la peinture blanche haute temperature apres brunissage</t>
        </is>
      </c>
    </row>
    <row r="5">
      <c r="A5" s="6" t="inlineStr">
        <is>
          <t>03</t>
        </is>
      </c>
      <c r="B5" s="6" t="inlineStr">
        <is>
          <t>Plaque de traverse</t>
        </is>
      </c>
      <c r="C5" s="6" t="n">
        <v>6</v>
      </c>
      <c r="D5" s="6" t="inlineStr">
        <is>
          <t>S355JR</t>
        </is>
      </c>
      <c r="E5" s="6" t="inlineStr">
        <is>
          <t>tole 8 mm, cert. 2.2</t>
        </is>
      </c>
      <c r="F5" s="7" t="n">
        <v>0.252</v>
      </c>
      <c r="G5" s="7">
        <f>C5*F5</f>
        <v/>
      </c>
      <c r="H5" s="6" t="inlineStr">
        <is>
          <t>DXF = brut : chant du bas + 1 (65 / 39) ; chants du bas FRAISES EN PAQUET serre, paquet aligne sur les faces HAUTES des tenons, a la cote finie 64 / 38, Ra 1,6 : c est le plan de glissement</t>
        </is>
      </c>
    </row>
    <row r="6">
      <c r="A6" s="6" t="inlineStr">
        <is>
          <t>02b</t>
        </is>
      </c>
      <c r="B6" s="6" t="inlineStr">
        <is>
          <t>Plateau de poussoir</t>
        </is>
      </c>
      <c r="C6" s="6" t="n">
        <v>3</v>
      </c>
      <c r="D6" s="6" t="inlineStr">
        <is>
          <t>S355JR</t>
        </is>
      </c>
      <c r="E6" s="6" t="inlineStr">
        <is>
          <t>tole 8 mm, cert. 2.2</t>
        </is>
      </c>
      <c r="F6" s="7" t="n">
        <v>0.327</v>
      </c>
      <c r="G6" s="7">
        <f>C6*F6</f>
        <v/>
      </c>
      <c r="H6" s="6" t="inlineStr">
        <is>
          <t>3 plateaux perces : alesage 25,4 traversant ; 2 trous de passage 6,6 decoupes au laser a +/- 38 ; assembles en bloc par 2 vis H M6 x 35, tete en dessous, ecrou au dessus, 8 N.m ; le patin de charge fait fond</t>
        </is>
      </c>
    </row>
    <row r="7">
      <c r="A7" s="6" t="inlineStr">
        <is>
          <t>02a</t>
        </is>
      </c>
      <c r="B7" s="6" t="inlineStr">
        <is>
          <t>Coulisseau a tete inclinee</t>
        </is>
      </c>
      <c r="C7" s="6" t="n">
        <v>1</v>
      </c>
      <c r="D7" s="6" t="inlineStr">
        <is>
          <t>S355JR</t>
        </is>
      </c>
      <c r="E7" s="6" t="inlineStr">
        <is>
          <t>plat 65 x 40, L 120 (fini 58 x 36,2 x 114)</t>
        </is>
      </c>
      <c r="F7" s="7" t="n">
        <v>1.455</v>
      </c>
      <c r="G7" s="7">
        <f>C7*F7</f>
        <v/>
      </c>
      <c r="H7" s="6" t="inlineStr">
        <is>
          <t>dessus a 12 degres sur toute la section ; alesage 25 H8 prof. 20 par dessous ; 4 taraudages M8 prof. 16 dans les faces laterales (avant-trou 6,8 prof. 19), axe a 12 du dessous, x = +/- 44</t>
        </is>
      </c>
    </row>
    <row r="8">
      <c r="A8" s="6" t="inlineStr">
        <is>
          <t>06a</t>
        </is>
      </c>
      <c r="B8" s="6" t="inlineStr">
        <is>
          <t>Tourillon de centrage</t>
        </is>
      </c>
      <c r="C8" s="6" t="n">
        <v>1</v>
      </c>
      <c r="D8" s="6" t="inlineStr">
        <is>
          <t>C45+C</t>
        </is>
      </c>
      <c r="E8" s="6" t="inlineStr">
        <is>
          <t>rond etire 25 h9 x 79.5</t>
        </is>
      </c>
      <c r="F8" s="7" t="n">
        <v>0.306</v>
      </c>
      <c r="G8" s="7">
        <f>C8*F8</f>
        <v/>
      </c>
      <c r="H8" s="6" t="inlineStr">
        <is>
          <t>rond etire h9 NON repris : tronconne, chanfrein 1,5 x 45 deg aux deux bouts ; COLLE au fond de l alesage du coulisseau (Loctite 648 (tient 175 C), alesage 25 H8 degraisse) ; centre la pile et coulisse dans le poussoir : 7,9 au repos, 4,3 de garde au dessus du patin a la butee</t>
        </is>
      </c>
    </row>
    <row r="9">
      <c r="A9" s="6" t="inlineStr">
        <is>
          <t>02c</t>
        </is>
      </c>
      <c r="B9" s="6" t="inlineStr">
        <is>
          <t>Coin de commande</t>
        </is>
      </c>
      <c r="C9" s="6" t="n">
        <v>1</v>
      </c>
      <c r="D9" s="6" t="inlineStr">
        <is>
          <t>C45</t>
        </is>
      </c>
      <c r="E9" s="6" t="inlineStr">
        <is>
          <t>plat 70 x 45, L 120 (fini 63,3 x 40 x 114,5)</t>
        </is>
      </c>
      <c r="F9" s="7" t="n">
        <v>1.374</v>
      </c>
      <c r="G9" s="7">
        <f>C9*F9</f>
        <v/>
      </c>
      <c r="H9" s="6" t="inlineStr">
        <is>
          <t>acier taraude M16 sur 80 depuis le bout EPAIS, passage 18 au dela ; porte les deux plaques de frottement en bronze, tenons de 4 de haut et 24 de large : dessus 8, dessous 7,83 (faces normales a la pente) ; 4 taraudages M4 prof. 10 pour les vis des plaquettes</t>
        </is>
      </c>
    </row>
    <row r="10">
      <c r="A10" s="6" t="inlineStr">
        <is>
          <t>06c</t>
        </is>
      </c>
      <c r="B10" s="6" t="inlineStr">
        <is>
          <t>Plaque de frottement, dessus</t>
        </is>
      </c>
      <c r="C10" s="6" t="n">
        <v>1</v>
      </c>
      <c r="D10" s="6" t="inlineStr">
        <is>
          <t>CuSn12-C</t>
        </is>
      </c>
      <c r="E10" s="6" t="inlineStr">
        <is>
          <t>plat 45 x 8</t>
        </is>
      </c>
      <c r="F10" s="7" t="n">
        <v>0.24</v>
      </c>
      <c r="G10" s="7">
        <f>C10*F10</f>
        <v/>
      </c>
      <c r="H10" s="6" t="inlineStr">
        <is>
          <t>fraisee 41 x 133 x 6, une fenetre a chaque bout autour des tenons du coin, 2 oblongs lames pour CHC M4 ; faces planes et paralleles a 0,02, Ra 0,8 cote glissement, aretes cassees 0,3 ; deborde du coin de 0,5 de chaque cote : c est elle qui touche la fente des flancs ; pate graphite haute temperature sur la face qui glisse sous la traverse</t>
        </is>
      </c>
    </row>
    <row r="11">
      <c r="A11" s="6" t="inlineStr">
        <is>
          <t>06d</t>
        </is>
      </c>
      <c r="B11" s="6" t="inlineStr">
        <is>
          <t>Plaque de frottement, dessous</t>
        </is>
      </c>
      <c r="C11" s="6" t="n">
        <v>1</v>
      </c>
      <c r="D11" s="6" t="inlineStr">
        <is>
          <t>CuSn12-C</t>
        </is>
      </c>
      <c r="E11" s="6" t="inlineStr">
        <is>
          <t>plat 45 x 8</t>
        </is>
      </c>
      <c r="F11" s="7" t="n">
        <v>0.247</v>
      </c>
      <c r="G11" s="7">
        <f>C11*F11</f>
        <v/>
      </c>
      <c r="H11" s="6" t="inlineStr">
        <is>
          <t>comme la haute, mais 41 x 136 x 6, lamages cote coulisseau ; pate graphite haute temperature sur la face qui glisse sur la pente du coulisseau</t>
        </is>
      </c>
    </row>
    <row r="12">
      <c r="A12" s="6" t="inlineStr">
        <is>
          <t>07</t>
        </is>
      </c>
      <c r="B12" s="6" t="inlineStr">
        <is>
          <t>Platine de butee de la vis</t>
        </is>
      </c>
      <c r="C12" s="6" t="n">
        <v>2</v>
      </c>
      <c r="D12" s="6" t="inlineStr">
        <is>
          <t>42CrMo4 +A</t>
        </is>
      </c>
      <c r="E12" s="6" t="inlineStr">
        <is>
          <t>tole 8 mm, cert. 3.1, Re &gt;= 430</t>
        </is>
      </c>
      <c r="F12" s="7" t="n">
        <v>0.454</v>
      </c>
      <c r="G12" s="7">
        <f>C12*F12</f>
        <v/>
      </c>
      <c r="H12" s="6" t="inlineStr">
        <is>
          <t>meme tole 42CrMo4 que les flancs (imbriquees dans leurs chutes), empilees et serrees par les deux vis H M10 x 200 de la chape</t>
        </is>
      </c>
    </row>
    <row r="13">
      <c r="A13" s="6" t="inlineStr">
        <is>
          <t>07b</t>
        </is>
      </c>
      <c r="B13" s="6" t="inlineStr">
        <is>
          <t>Entretoise de butee</t>
        </is>
      </c>
      <c r="C13" s="6" t="n">
        <v>2</v>
      </c>
      <c r="D13" s="6" t="inlineStr">
        <is>
          <t>E235+C EN 10305-1</t>
        </is>
      </c>
      <c r="E13" s="6" t="inlineStr">
        <is>
          <t>tube de precision 20 x 2</t>
        </is>
      </c>
      <c r="F13" s="7" t="n">
        <v>0.063</v>
      </c>
      <c r="G13" s="7">
        <f>C13*F13</f>
        <v/>
      </c>
      <c r="H13" s="6" t="inlineStr">
        <is>
          <t>coupee a 71,5 +/-0,2, faces dressees ; en compression pure : c est elle qui porte l effort de commande</t>
        </is>
      </c>
    </row>
    <row r="14">
      <c r="A14" s="6" t="inlineStr">
        <is>
          <t>04a</t>
        </is>
      </c>
      <c r="B14" s="6" t="inlineStr">
        <is>
          <t>Patin d'appui rainure</t>
        </is>
      </c>
      <c r="C14" s="6" t="n">
        <v>4</v>
      </c>
      <c r="D14" s="6" t="inlineStr">
        <is>
          <t>S355JR</t>
        </is>
      </c>
      <c r="E14" s="6" t="inlineStr">
        <is>
          <t>tole 10 mm</t>
        </is>
      </c>
      <c r="F14" s="7" t="n">
        <v>0.131</v>
      </c>
      <c r="G14" s="7">
        <f>C14*F14</f>
        <v/>
      </c>
      <c r="H14" s="6" t="inlineStr">
        <is>
          <t>decoupe laser PUIS rainure 9,5 x 1,5 fraisee sur toute la longueur de la face d appui (0,75 de jeu par cote sur la tole reelle du flanc) ; colle en place, cadre monte, sous 0,5 kN de precharge ; un jeu par eprouvette</t>
        </is>
      </c>
    </row>
    <row r="15">
      <c r="A15" s="6" t="inlineStr">
        <is>
          <t>04b</t>
        </is>
      </c>
      <c r="B15" s="6" t="inlineStr">
        <is>
          <t>Patin de charge</t>
        </is>
      </c>
      <c r="C15" s="6" t="n">
        <v>1</v>
      </c>
      <c r="D15" s="6" t="inlineStr">
        <is>
          <t>S355JR</t>
        </is>
      </c>
      <c r="E15" s="6" t="inlineStr">
        <is>
          <t>tole 10 mm</t>
        </is>
      </c>
      <c r="F15" s="7" t="n">
        <v>0.447</v>
      </c>
      <c r="G15" s="7">
        <f>C15*F15</f>
        <v/>
      </c>
      <c r="H15" s="6" t="inlineStr">
        <is>
          <t>sans trou, 58 de long selon x pour laisser passer les tetes des vis du poussoir ; dessus BOMBE R1000 fraise (cylindre d axe transversal, 10 au milieu, 9,58 aux bords) : le poussoir y porte sur une ligne ; dessous plat, colle centre au trace en meme temps que les patins d appui ; un par eprouvette</t>
        </is>
      </c>
    </row>
    <row r="16">
      <c r="A16" s="6" t="inlineStr">
        <is>
          <t>06b</t>
        </is>
      </c>
      <c r="B16" s="6" t="inlineStr">
        <is>
          <t>Entretoise tubulaire</t>
        </is>
      </c>
      <c r="C16" s="6" t="n">
        <v>9</v>
      </c>
      <c r="D16" s="6" t="inlineStr">
        <is>
          <t>E235+C EN 10305-1</t>
        </is>
      </c>
      <c r="E16" s="6" t="inlineStr">
        <is>
          <t>tube de precision 20 x 2</t>
        </is>
      </c>
      <c r="F16" s="7" t="n">
        <v>0.053</v>
      </c>
      <c r="G16" s="7">
        <f>C16*F16</f>
        <v/>
      </c>
      <c r="H16" s="6" t="inlineStr">
        <is>
          <t>coupee a 60 +0,1/0, faces dressees // 0,05 : c est elle qui fixe l ecart des flancs ; 7 serrees par vis TH M10 x 100 + ecrou ISO 7042 classe 8, autofreine tout metal, les 2 de la chape par les vis H M10 x 200</t>
        </is>
      </c>
    </row>
    <row r="17">
      <c r="A17" s="6" t="inlineStr">
        <is>
          <t>05</t>
        </is>
      </c>
      <c r="B17" s="6" t="inlineStr">
        <is>
          <t>Pied a mi-bois</t>
        </is>
      </c>
      <c r="C17" s="6" t="n">
        <v>4</v>
      </c>
      <c r="D17" s="6" t="inlineStr">
        <is>
          <t>S355JR</t>
        </is>
      </c>
      <c r="E17" s="6" t="inlineStr">
        <is>
          <t>tole 8 mm, cert. 2.2</t>
        </is>
      </c>
      <c r="F17" s="7" t="n">
        <v>0.872</v>
      </c>
      <c r="G17" s="7">
        <f>C17*F17</f>
        <v/>
      </c>
      <c r="H17" s="6" t="inlineStr">
        <is>
          <t>ajoure, bossages aux deux bouts qui posent sur les crochets d etuve, fente de calage 8,4 x 7 a 5 du bout ; encoches et nodes taillees sur la tole REELLE du flanc (42CrMo4), fente sur celle du crochet (S355) : mesurer les deux toles livrees, regler EP_TOLE_REELLE_42 (42CrMo4) et EP_TOLE_REELLE_S355 (S355JR) et regenerer les DXF avant decoupe ; meme plaque pour les deux positions : 2 dans le chant bas (couche), 2 aux coins de l about a 38 degres (debout), aretes de pose a 447</t>
        </is>
      </c>
    </row>
    <row r="18">
      <c r="A18" s="6" t="inlineStr">
        <is>
          <t>05c</t>
        </is>
      </c>
      <c r="B18" s="6" t="inlineStr">
        <is>
          <t>Crochet d etuve</t>
        </is>
      </c>
      <c r="C18" s="6" t="n">
        <v>4</v>
      </c>
      <c r="D18" s="6" t="inlineStr">
        <is>
          <t>S355JR</t>
        </is>
      </c>
      <c r="E18" s="6" t="inlineStr">
        <is>
          <t>tole 8 mm, cert. 2.2</t>
        </is>
      </c>
      <c r="F18" s="7" t="n">
        <v>0.174</v>
      </c>
      <c r="G18" s="7">
        <f>C18*F18</f>
        <v/>
      </c>
      <c r="H18" s="6" t="inlineStr">
        <is>
          <t>cadre DEBOUT : pend par 4 langues a bec dans la colonne de trous carres de 10 (paroi 1), dans le plan des flancs ; l arete du pied en V pose sur son appui, calee par la dent dans la fente du pied. Le fond de l etuve ne porte rien ; dent a 47,2 de la paroi pour une etuve de 538</t>
        </is>
      </c>
    </row>
    <row r="19">
      <c r="A19" s="8" t="n"/>
      <c r="B19" s="8" t="n"/>
      <c r="C19" s="8" t="n"/>
      <c r="D19" s="8" t="n"/>
      <c r="E19" s="8" t="n"/>
      <c r="F19" s="9" t="inlineStr">
        <is>
          <t>total</t>
        </is>
      </c>
      <c r="G19" s="10">
        <f>SUM(G4:G18)</f>
        <v/>
      </c>
      <c r="H1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33" customWidth="1" min="2" max="2"/>
    <col width="8" customWidth="1" min="3" max="3"/>
    <col width="61" customWidth="1" min="4" max="4"/>
    <col width="17" customWidth="1" min="5" max="5"/>
    <col width="10" customWidth="1" min="6" max="6"/>
    <col width="70" customWidth="1" min="7" max="7"/>
  </cols>
  <sheetData>
    <row r="1">
      <c r="A1" s="1" t="inlineStr">
        <is>
          <t>Pieces du commerce</t>
        </is>
      </c>
    </row>
    <row r="2"/>
    <row r="3">
      <c r="A3" s="5" t="inlineStr">
        <is>
          <t>rep</t>
        </is>
      </c>
      <c r="B3" s="5" t="inlineStr">
        <is>
          <t>designation</t>
        </is>
      </c>
      <c r="C3" s="5" t="inlineStr">
        <is>
          <t>qte</t>
        </is>
      </c>
      <c r="D3" s="5" t="inlineStr">
        <is>
          <t>reference</t>
        </is>
      </c>
      <c r="E3" s="5" t="inlineStr">
        <is>
          <t>matiere</t>
        </is>
      </c>
      <c r="F3" s="5" t="inlineStr">
        <is>
          <t>masse u.</t>
        </is>
      </c>
      <c r="G3" s="5" t="inlineStr">
        <is>
          <t>remarque</t>
        </is>
      </c>
    </row>
    <row r="4">
      <c r="A4" s="6" t="inlineStr">
        <is>
          <t>02f</t>
        </is>
      </c>
      <c r="B4" s="6" t="inlineStr">
        <is>
          <t>Vis de guidage CHC M8 x 12</t>
        </is>
      </c>
      <c r="C4" s="6" t="n">
        <v>4</v>
      </c>
      <c r="D4" s="6" t="inlineStr">
        <is>
          <t>CHC M8 x 12 ISO 4762 8.8, tete lisse (non moletee)</t>
        </is>
      </c>
      <c r="E4" s="6" t="inlineStr">
        <is>
          <t>8.8</t>
        </is>
      </c>
      <c r="F4" s="7" t="n">
        <v>0.013</v>
      </c>
      <c r="G4" s="6" t="inlineStr">
        <is>
          <t>piece du commerce ; 12 sous tete, toute la tige dans le taraudage de 16 ; c est la TETE (13 x 8) qui guide : cylindre sur plan, contact lineique</t>
        </is>
      </c>
    </row>
    <row r="5">
      <c r="A5" s="6" t="inlineStr">
        <is>
          <t>02d</t>
        </is>
      </c>
      <c r="B5" s="6" t="inlineStr">
        <is>
          <t>Vis de commande H M16 x 160</t>
        </is>
      </c>
      <c r="C5" s="6" t="n">
        <v>1</v>
      </c>
      <c r="D5" s="6" t="inlineStr">
        <is>
          <t>vis H M16 x 160 ISO 4017 8.8 brute, filetee jusqu a la tete</t>
        </is>
      </c>
      <c r="E5" s="6" t="inlineStr">
        <is>
          <t>8.8</t>
        </is>
      </c>
      <c r="F5" s="7" t="n">
        <v>0.345</v>
      </c>
      <c r="G5" s="6" t="inlineStr">
        <is>
          <t>piece du commerce, filetee jusqu a la tete, montee a la pate cuivre ; tete de 10 (douille de 24) sur la butee ; ecrous et butee figures : ils montrent l arret axial dans les deux sens</t>
        </is>
      </c>
    </row>
    <row r="6">
      <c r="A6" s="6" t="inlineStr">
        <is>
          <t>04c</t>
        </is>
      </c>
      <c r="B6" s="6" t="inlineStr">
        <is>
          <t>Plat de renfort colle</t>
        </is>
      </c>
      <c r="C6" s="6" t="n">
        <v>2</v>
      </c>
      <c r="D6" s="6" t="inlineStr">
        <is>
          <t>feuillard 20 x 2 S235, coupe a 840</t>
        </is>
      </c>
      <c r="E6" s="6" t="inlineStr">
        <is>
          <t>S235</t>
        </is>
      </c>
      <c r="F6" s="7" t="n">
        <v>0.264</v>
      </c>
      <c r="G6" s="6" t="inlineStr">
        <is>
          <t>piece du commerce, coupee a longueur, bavures retirees ; collee sur toute la longueur a y = +/- 34, poncer et degraisser les deux faces ; un jeu par eprouvette</t>
        </is>
      </c>
    </row>
    <row r="7">
      <c r="A7" s="6" t="inlineStr">
        <is>
          <t>02e</t>
        </is>
      </c>
      <c r="B7" s="6" t="inlineStr">
        <is>
          <t>Pile de 12 rondelles Belleville</t>
        </is>
      </c>
      <c r="C7" s="6" t="n">
        <v>1</v>
      </c>
      <c r="D7" s="6" t="inlineStr">
        <is>
          <t>12 rondelles EN 16983 A50</t>
        </is>
      </c>
      <c r="E7" s="6" t="inlineStr">
        <is>
          <t>51CrV4 (1.8159)</t>
        </is>
      </c>
      <c r="F7" s="7" t="n">
        <v>0.412</v>
      </c>
      <c r="G7" s="6" t="inlineStr">
        <is>
          <t>piece du commerce : 12 rondelles 50 x 25,4 x 3 (ex-DIN 2093, PAS en C60S) montees TETE-BECHE, grand diametre aux deux bouts ; 18,5 kN a plat, course 15,6 mm ; cales de rattrapage 1 et 2 mm (50 / 26) entre poussoir et pile si l empilement est court</t>
        </is>
      </c>
    </row>
    <row r="8"/>
    <row r="9">
      <c r="A9" s="2" t="inlineStr">
        <is>
          <t>Masse du cadre complet : 34.6 kg. Poutrelle beton : 22.2 kg. Masses du modele 3D (out/masses.json du 20/10/2026).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8" customWidth="1" min="3" max="3"/>
    <col width="70" customWidth="1" min="4" max="4"/>
  </cols>
  <sheetData>
    <row r="1">
      <c r="A1" s="1" t="inlineStr">
        <is>
          <t>Visserie et petites pieces du commerce</t>
        </is>
      </c>
    </row>
    <row r="2"/>
    <row r="3">
      <c r="A3" s="5" t="inlineStr">
        <is>
          <t>rep</t>
        </is>
      </c>
      <c r="B3" s="5" t="inlineStr">
        <is>
          <t>designation</t>
        </is>
      </c>
      <c r="C3" s="5" t="inlineStr">
        <is>
          <t>qte</t>
        </is>
      </c>
      <c r="D3" s="5" t="inlineStr">
        <is>
          <t>remarque</t>
        </is>
      </c>
    </row>
    <row r="4">
      <c r="A4" s="6" t="inlineStr">
        <is>
          <t>V1</t>
        </is>
      </c>
      <c r="B4" s="6" t="inlineStr">
        <is>
          <t>Vis TH M10 x 100 ISO 4017 8.8 zinguee (filetage total) + ecrou ISO 7042 classe 8, autofreine tout metal + 2 rondelles ISO 7089 M10</t>
        </is>
      </c>
      <c r="C4" s="6" t="n">
        <v>7</v>
      </c>
      <c r="D4" s="6" t="inlineStr">
        <is>
          <t>entretoises de cadre : 4 de coin, 2 de bielle, 1 de sommet. Serrage 80, filetage total : la vis depasse de l ecrou de 10 ; 25 N.m. Pas d ecrou a bague polyamide (ISO 7040, DIN 985) : elle ne freine plus a 150 C. Acier, pas inox : meme dilatation que les flancs, la precharge tient a chaud</t>
        </is>
      </c>
    </row>
    <row r="5">
      <c r="A5" s="6" t="inlineStr">
        <is>
          <t>V2</t>
        </is>
      </c>
      <c r="B5" s="6" t="inlineStr">
        <is>
          <t>Vis TH M10 x 100 ISO 4017 8.8 zinguee (filetage total) + ecrou ISO 7042 classe 8, autofreine tout metal + 2 rondelles ISO 7089 M10 : MEME ARTICLE QUE V1</t>
        </is>
      </c>
      <c r="C5" s="6" t="n">
        <v>2</v>
      </c>
      <c r="D5" s="6" t="inlineStr">
        <is>
          <t>paquet de plaques de traverse, a y = +/- 17 : les deux vis tiennent les plaques alignees pour dresser le chant en paquet ; elles ne reprennent aucune charge. Serrage 52, la vis depasse de l ecrou de 38, entre les flancs ; 25 N.m</t>
        </is>
      </c>
    </row>
    <row r="6">
      <c r="A6" s="6" t="inlineStr">
        <is>
          <t>V3</t>
        </is>
      </c>
      <c r="B6" s="6" t="inlineStr">
        <is>
          <t>Vis H M6 x 35 ISO 4017 8.8 zinguee + rondelle ISO 7089 M6 + ecrou ISO 7042 M6 classe 8 tout metal</t>
        </is>
      </c>
      <c r="C6" s="6" t="n">
        <v>2</v>
      </c>
      <c r="D6" s="6" t="inlineStr">
        <is>
          <t>serrent les 3 plateaux du poussoir en un bloc, dans les trous de 6,6 a +/- 38 : TETE EN DESSOUS, rondelle et ecrou au dessus, a cote de la pile. Sous le plateau bas il n y a que les 10 du patin de charge jusqu a la poutrelle : une tete de 4 y tient (6 de garde), un ecrou non. Serrage modere, 8 N.m ; la vis depasse de l ecrou de 3,4 ; restent sur le poussoir</t>
        </is>
      </c>
    </row>
    <row r="7">
      <c r="A7" s="6" t="inlineStr">
        <is>
          <t>V4</t>
        </is>
      </c>
      <c r="B7" s="6" t="inlineStr">
        <is>
          <t>Cale de rattrapage D50 / D26, feuillard acier, ep. 1 et 2 mm</t>
        </is>
      </c>
      <c r="C7" s="6" t="n">
        <v>2</v>
      </c>
      <c r="D7" s="6" t="inlineStr">
        <is>
          <t>une de chaque, entre le poussoir et la pile, si l empilement mesure au montage est court : le coin doit toucher a moins de 5 mm de son repos</t>
        </is>
      </c>
    </row>
    <row r="8">
      <c r="A8" s="6" t="inlineStr">
        <is>
          <t>V5</t>
        </is>
      </c>
      <c r="B8" s="6" t="inlineStr">
        <is>
          <t>Rondelle trempee AS 1730 (17 x 30 x 1)</t>
        </is>
      </c>
      <c r="C8" s="6" t="n">
        <v>2</v>
      </c>
      <c r="D8" s="6" t="inlineStr">
        <is>
          <t>cote interieur des platines, sous les ecrous V7 : deux empilees font les 2 mm de rondelle trempee (une rondelle trempee 30 x 2 n existe pas en M16)</t>
        </is>
      </c>
    </row>
    <row r="9">
      <c r="A9" s="6" t="inlineStr">
        <is>
          <t>V6</t>
        </is>
      </c>
      <c r="B9" s="6" t="inlineStr">
        <is>
          <t>Rondelle trempee AS 1730 (17 x 30 x 1) : MEME ARTICLE QUE V5</t>
        </is>
      </c>
      <c r="C9" s="6" t="n">
        <v>2</v>
      </c>
      <c r="D9" s="6" t="inlineStr">
        <is>
          <t>sous la tete de la vis de commande, face EXTERIEURE des platines : elles encaissent les 5.5 kN de commande ; pate graphite haute temperature entre elles, la tete tourne dessus</t>
        </is>
      </c>
    </row>
    <row r="10">
      <c r="A10" s="6" t="inlineStr">
        <is>
          <t>V7</t>
        </is>
      </c>
      <c r="B10" s="6" t="inlineStr">
        <is>
          <t>Ecrou M16 HM ISO 4035</t>
        </is>
      </c>
      <c r="C10" s="6" t="n">
        <v>2</v>
      </c>
      <c r="D10" s="6" t="inlineStr">
        <is>
          <t>bloques l un sur l autre cote interieur des platines, sur les rondelles V5, avec 0,1 a 0,3 de jeu axial : ils ne retiennent la vis qu au desserrage, 329 N</t>
        </is>
      </c>
    </row>
    <row r="11">
      <c r="A11" s="6" t="inlineStr">
        <is>
          <t>V8</t>
        </is>
      </c>
      <c r="B11" s="6" t="inlineStr">
        <is>
          <t>Vis H M10 x 200 ISO 4014 8.8 zinguee (filetee sur 32) + 2 ecrous H M10 ISO 4032 classe 8 + 5 rondelles ISO 7089 M10</t>
        </is>
      </c>
      <c r="C11" s="6" t="n">
        <v>2</v>
      </c>
      <c r="D11" s="6" t="inlineStr">
        <is>
          <t>vis de chape : tete et 1 rondelle derriere le flanc oppose, flanc, entretoise de cadre, flanc, entretoise de butee, platines, 4 rondelles, ecrou serre puis contre-ecrou bloque contre lui. Serrage 173,5, filet a partir de 168 : le premier ecrou y tombe avec 5,5 de marge, la vis depasse du contre-ecrou de 9,7 ; 25 N.m sur le premier</t>
        </is>
      </c>
    </row>
    <row r="12">
      <c r="A12" s="6" t="inlineStr">
        <is>
          <t>V9</t>
        </is>
      </c>
      <c r="B12" s="6" t="inlineStr">
        <is>
          <t>Vis CHC M4 x 8 ISO 4762 8.8 zinguee, tete normale</t>
        </is>
      </c>
      <c r="C12" s="6" t="n">
        <v>4</v>
      </c>
      <c r="D12" s="6" t="inlineStr">
        <is>
          <t>2 par plaque de frottement, dans ses oblongs, tete dans le lamage (0,5 sous la surface de glissement), 6,5 de filet dans les taraudages M4 du coin ; serrage LEGER, la plaquette doit glisser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12" customWidth="1" min="3" max="3"/>
    <col width="8" customWidth="1" min="4" max="4"/>
    <col width="48" customWidth="1" min="5" max="5"/>
  </cols>
  <sheetData>
    <row r="1">
      <c r="A1" s="1" t="inlineStr">
        <is>
          <t>Pieces planes a decouper</t>
        </is>
      </c>
    </row>
    <row r="2"/>
    <row r="3">
      <c r="A3" s="5" t="inlineStr">
        <is>
          <t>fichier</t>
        </is>
      </c>
      <c r="B3" s="5" t="inlineStr">
        <is>
          <t>epaisseur</t>
        </is>
      </c>
      <c r="C3" s="5" t="inlineStr">
        <is>
          <t>matiere</t>
        </is>
      </c>
      <c r="D3" s="5" t="inlineStr">
        <is>
          <t>nombre</t>
        </is>
      </c>
      <c r="E3" s="5" t="inlineStr">
        <is>
          <t>statut</t>
        </is>
      </c>
    </row>
    <row r="4">
      <c r="A4" s="6" t="inlineStr">
        <is>
          <t>flanc.dxf</t>
        </is>
      </c>
      <c r="B4" s="6" t="inlineStr">
        <is>
          <t>8 mm</t>
        </is>
      </c>
      <c r="C4" s="6" t="inlineStr">
        <is>
          <t>42CrMo4 +A</t>
        </is>
      </c>
      <c r="D4" s="6" t="inlineStr">
        <is>
          <t>2</t>
        </is>
      </c>
      <c r="E4" s="6" t="inlineStr">
        <is>
          <t>a decouper</t>
        </is>
      </c>
    </row>
    <row r="5">
      <c r="A5" s="6" t="inlineStr">
        <is>
          <t>traverse.dxf</t>
        </is>
      </c>
      <c r="B5" s="6" t="inlineStr">
        <is>
          <t>8 mm</t>
        </is>
      </c>
      <c r="C5" s="6" t="inlineStr">
        <is>
          <t>S355JR</t>
        </is>
      </c>
      <c r="D5" s="6" t="inlineStr">
        <is>
          <t>6</t>
        </is>
      </c>
      <c r="E5" s="6" t="inlineStr">
        <is>
          <t>a decouper ; DXF = brut, reprise apres decoupe</t>
        </is>
      </c>
    </row>
    <row r="6">
      <c r="A6" s="6" t="inlineStr">
        <is>
          <t>poussoir.dxf</t>
        </is>
      </c>
      <c r="B6" s="6" t="inlineStr">
        <is>
          <t>8 mm</t>
        </is>
      </c>
      <c r="C6" s="6" t="inlineStr">
        <is>
          <t>S355JR</t>
        </is>
      </c>
      <c r="D6" s="6" t="inlineStr">
        <is>
          <t>3</t>
        </is>
      </c>
      <c r="E6" s="6" t="inlineStr">
        <is>
          <t>a decouper</t>
        </is>
      </c>
    </row>
    <row r="7">
      <c r="A7" s="6" t="inlineStr">
        <is>
          <t>support.dxf</t>
        </is>
      </c>
      <c r="B7" s="6" t="inlineStr">
        <is>
          <t>8 mm</t>
        </is>
      </c>
      <c r="C7" s="6" t="inlineStr">
        <is>
          <t>42CrMo4 +A</t>
        </is>
      </c>
      <c r="D7" s="6" t="inlineStr">
        <is>
          <t>2</t>
        </is>
      </c>
      <c r="E7" s="6" t="inlineStr">
        <is>
          <t>a decouper</t>
        </is>
      </c>
    </row>
    <row r="8">
      <c r="A8" s="6" t="inlineStr">
        <is>
          <t>patin_appui.dxf</t>
        </is>
      </c>
      <c r="B8" s="6" t="inlineStr">
        <is>
          <t>10 mm</t>
        </is>
      </c>
      <c r="C8" s="6" t="inlineStr">
        <is>
          <t>S355JR</t>
        </is>
      </c>
      <c r="D8" s="6" t="inlineStr">
        <is>
          <t>4</t>
        </is>
      </c>
      <c r="E8" s="6" t="inlineStr">
        <is>
          <t>a decouper</t>
        </is>
      </c>
    </row>
    <row r="9">
      <c r="A9" s="6" t="inlineStr">
        <is>
          <t>patin_charge.dxf</t>
        </is>
      </c>
      <c r="B9" s="6" t="inlineStr">
        <is>
          <t>10 mm</t>
        </is>
      </c>
      <c r="C9" s="6" t="inlineStr">
        <is>
          <t>S355JR</t>
        </is>
      </c>
      <c r="D9" s="6" t="inlineStr">
        <is>
          <t>1</t>
        </is>
      </c>
      <c r="E9" s="6" t="inlineStr">
        <is>
          <t>a decouper</t>
        </is>
      </c>
    </row>
    <row r="10">
      <c r="A10" s="6" t="inlineStr">
        <is>
          <t>pied.dxf</t>
        </is>
      </c>
      <c r="B10" s="6" t="inlineStr">
        <is>
          <t>8 mm</t>
        </is>
      </c>
      <c r="C10" s="6" t="inlineStr">
        <is>
          <t>S355JR</t>
        </is>
      </c>
      <c r="D10" s="6" t="inlineStr">
        <is>
          <t>4</t>
        </is>
      </c>
      <c r="E10" s="6" t="inlineStr">
        <is>
          <t>a decouper</t>
        </is>
      </c>
    </row>
    <row r="11">
      <c r="A11" s="6" t="inlineStr">
        <is>
          <t>crochet.dxf</t>
        </is>
      </c>
      <c r="B11" s="6" t="inlineStr">
        <is>
          <t>8 mm</t>
        </is>
      </c>
      <c r="C11" s="6" t="inlineStr">
        <is>
          <t>S355JR</t>
        </is>
      </c>
      <c r="D11" s="6" t="inlineStr">
        <is>
          <t>4</t>
        </is>
      </c>
      <c r="E11" s="6" t="inlineStr">
        <is>
          <t>a decouper</t>
        </is>
      </c>
    </row>
    <row r="12">
      <c r="A12" s="6" t="inlineStr">
        <is>
          <t>tole_8mm_42crmo4.dxf</t>
        </is>
      </c>
      <c r="B12" s="6" t="inlineStr">
        <is>
          <t>8 mm</t>
        </is>
      </c>
      <c r="C12" s="6" t="inlineStr">
        <is>
          <t>42CrMo4 +A</t>
        </is>
      </c>
      <c r="D12" s="6" t="inlineStr">
        <is>
          <t>4</t>
        </is>
      </c>
      <c r="E12" s="6" t="inlineStr">
        <is>
          <t>groupe : flanc, support</t>
        </is>
      </c>
    </row>
    <row r="13">
      <c r="A13" s="6" t="inlineStr">
        <is>
          <t>tole_8mm_s355.dxf</t>
        </is>
      </c>
      <c r="B13" s="6" t="inlineStr">
        <is>
          <t>8 mm</t>
        </is>
      </c>
      <c r="C13" s="6" t="inlineStr">
        <is>
          <t>S355JR</t>
        </is>
      </c>
      <c r="D13" s="6" t="inlineStr">
        <is>
          <t>17</t>
        </is>
      </c>
      <c r="E13" s="6" t="inlineStr">
        <is>
          <t>groupe : traverse, poussoir, pied, crochet</t>
        </is>
      </c>
    </row>
    <row r="14">
      <c r="A14" s="6" t="inlineStr">
        <is>
          <t>tole_10mm_s355.dxf</t>
        </is>
      </c>
      <c r="B14" s="6" t="inlineStr">
        <is>
          <t>10 mm</t>
        </is>
      </c>
      <c r="C14" s="6" t="inlineStr">
        <is>
          <t>S355JR</t>
        </is>
      </c>
      <c r="D14" s="6" t="inlineStr">
        <is>
          <t>5</t>
        </is>
      </c>
      <c r="E14" s="6" t="inlineStr">
        <is>
          <t>groupe : patin_appui, patin_charge</t>
        </is>
      </c>
    </row>
    <row r="15"/>
    <row r="16">
      <c r="A16" s="2" t="inlineStr">
        <is>
          <t>Fichiers DXF dans out/dxf/, cotes en millimetres, contours fermes, indice B du 05/10/2026 ; la liste tenue a jour par export_dxf.py est out/dxf/LISTE.txt.</t>
        </is>
      </c>
    </row>
    <row r="17">
      <c r="A17" s="2" t="inlineStr">
        <is>
          <t>- Calques : DECOUPE = contour a couper ; GRAVURE = marquage laser, sans traverser, sur la face superieure de decoupe (graduation de charge du flanc, d un seul cote de la lumiere : face gravee montee a l exterieur) ; TEXTE = identification, ni coupe ni marquage.</t>
        </is>
      </c>
    </row>
    <row r="18">
      <c r="A18" s="2" t="inlineStr">
        <is>
          <t>- Toles reelles : mesurer les deux toles livrees, regler EP_TOLE_REELLE_42 (42CrMo4) et EP_TOLE_REELLE_S355 (S355JR) et regenerer les DXF avant decoupe. Le texte de chaque DXF cite l epaisseur pour laquelle ses fentes et encoches ont ete taillees.</t>
        </is>
      </c>
    </row>
    <row r="19">
      <c r="A19" s="2" t="inlineStr">
        <is>
          <t>- Brut de decoupe : le DXF de la traverse porte 1 mm de surepaisseur sur le chant du bas (fraise ensuite en paquet).</t>
        </is>
      </c>
    </row>
    <row r="20">
      <c r="A20" s="2" t="inlineStr">
        <is>
          <t>- Groupes : tole_&lt;ep&gt;mm_&lt;nuance&gt;.dxf reprend tous les exemplaires d une epaisseur et d une nuance, ranges en etageres de 3000 mm de large au plus. C est un controle de quantites, pas une imbrication : le decoupeur imbrique sur son format. Les pieces en attente sont dans un groupe a part, suffixe _EN_ATTENTE.</t>
        </is>
      </c>
    </row>
    <row r="21">
      <c r="A21" s="2" t="inlineStr">
        <is>
          <t>- Les pieces du commerce n ont pas de DXF.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</cols>
  <sheetData>
    <row r="1">
      <c r="A1" s="1" t="inlineStr">
        <is>
          <t>Reglages et constantes d'essai</t>
        </is>
      </c>
    </row>
    <row r="2"/>
    <row r="3">
      <c r="A3" s="5" t="inlineStr">
        <is>
          <t>grandeur</t>
        </is>
      </c>
      <c r="B3" s="5" t="inlineStr">
        <is>
          <t>valeur</t>
        </is>
      </c>
    </row>
    <row r="4">
      <c r="A4" s="6" t="inlineStr">
        <is>
          <t>Portee entre bossages</t>
        </is>
      </c>
      <c r="B4" s="6" t="inlineStr">
        <is>
          <t>750 mm</t>
        </is>
      </c>
    </row>
    <row r="5">
      <c r="A5" s="6" t="inlineStr">
        <is>
          <t>Bossages</t>
        </is>
      </c>
      <c r="B5" s="6" t="inlineStr">
        <is>
          <t>R150, balancier, 339 MPa de Hertz sur 6,4 mm portants</t>
        </is>
      </c>
    </row>
    <row r="6">
      <c r="A6" s="6" t="inlineStr">
        <is>
          <t>Pression de Hertz aux appuis</t>
        </is>
      </c>
      <c r="B6" s="6" t="inlineStr">
        <is>
          <t>339 MPa ; limite 480 MPa, 1,6 Re a chaud du patin S355JR, le plus mou des deux corps ; coefficient 1.42</t>
        </is>
      </c>
    </row>
    <row r="7">
      <c r="A7" s="6" t="inlineStr">
        <is>
          <t>Pile Belleville</t>
        </is>
      </c>
      <c r="B7" s="6" t="inlineStr">
        <is>
          <t>12 x EN 16983 A50 en 51CrV4 (1.8159), hauteur libre 51.6 mm</t>
        </is>
      </c>
    </row>
    <row r="8">
      <c r="A8" s="6" t="inlineStr">
        <is>
          <t>Effort de la pile a plat</t>
        </is>
      </c>
      <c r="B8" s="6" t="inlineStr">
        <is>
          <t>18.5 kN</t>
        </is>
      </c>
    </row>
    <row r="9">
      <c r="A9" s="6" t="inlineStr">
        <is>
          <t>Course totale de la pile</t>
        </is>
      </c>
      <c r="B9" s="6" t="inlineStr">
        <is>
          <t>15.6 mm</t>
        </is>
      </c>
    </row>
    <row r="10">
      <c r="A10" s="6" t="inlineStr">
        <is>
          <t>Ecrasement a 12 kN</t>
        </is>
      </c>
      <c r="B10" s="6" t="inlineStr">
        <is>
          <t>9.65 mm, soit 1243 N/mm en secant</t>
        </is>
      </c>
    </row>
    <row r="11">
      <c r="A11" s="6" t="inlineStr">
        <is>
          <t>Butee de course (bas de lumiere)</t>
        </is>
      </c>
      <c r="B11" s="6" t="inlineStr">
        <is>
          <t>11.8 mm, plafonne l'effort a 14.4 kN</t>
        </is>
      </c>
    </row>
    <row r="12">
      <c r="A12" s="6" t="inlineStr">
        <is>
          <t>Rattrapage d empilement</t>
        </is>
      </c>
      <c r="B12" s="6" t="inlineStr">
        <is>
          <t>2.4 mm en reserve au dela des 12 kN ; cales V4 de 1 et 2 mm</t>
        </is>
      </c>
    </row>
    <row r="13">
      <c r="A13" s="6" t="inlineStr">
        <is>
          <t>Commande</t>
        </is>
      </c>
      <c r="B13" s="6" t="inlineStr">
        <is>
          <t>coin acier a 12 degres, vis M16 normale aux flancs</t>
        </is>
      </c>
    </row>
    <row r="14">
      <c r="A14" s="6" t="inlineStr">
        <is>
          <t>Course par tour</t>
        </is>
      </c>
      <c r="B14" s="6" t="inlineStr">
        <is>
          <t>0.425 mm de coulisseau, environ 549 N</t>
        </is>
      </c>
    </row>
    <row r="15">
      <c r="A15" s="6" t="inlineStr">
        <is>
          <t>Precharge de collage, 0,5 kN</t>
        </is>
      </c>
      <c r="B15" s="6" t="inlineStr">
        <is>
          <t>0.84 tour de vis apres le contact (0.36 mm de pile, 1.7 mm de coin)</t>
        </is>
      </c>
    </row>
    <row r="16">
      <c r="A16" s="6" t="inlineStr">
        <is>
          <t>Couple sur la vis a 12 kN</t>
        </is>
      </c>
      <c r="B16" s="6" t="inlineStr">
        <is>
          <t>14.5 N.m</t>
        </is>
      </c>
    </row>
    <row r="17">
      <c r="A17" s="6" t="inlineStr">
        <is>
          <t>Couple de serrage des vis M10 (V1, V8)</t>
        </is>
      </c>
      <c r="B17" s="6" t="inlineStr">
        <is>
          <t>25 N.m</t>
        </is>
      </c>
    </row>
    <row r="18">
      <c r="A18" s="6" t="inlineStr">
        <is>
          <t>Irreversibilite du filet</t>
        </is>
      </c>
      <c r="B18" s="6" t="inlineStr">
        <is>
          <t>helice 2.48 deg / frottement 5.28 deg a mu 0.08 (acier sur acier, pate cuivre), marge x2.13</t>
        </is>
      </c>
    </row>
    <row r="19">
      <c r="A19" s="6" t="inlineStr">
        <is>
          <t>Coin</t>
        </is>
      </c>
      <c r="B19" s="6" t="inlineStr">
        <is>
          <t>autobloquant seulement si mu &gt; 0.106 ; desserrage 329 N a mu 0.12</t>
        </is>
      </c>
    </row>
    <row r="20">
      <c r="A20" s="6" t="inlineStr">
        <is>
          <t>Flancs du filet, taraude dans l acier</t>
        </is>
      </c>
      <c r="B20" s="6" t="inlineStr">
        <is>
          <t>9.2 MPa pour 12 admis, 80 mm filetes, engagement utile 24 mm</t>
        </is>
      </c>
    </row>
    <row r="21">
      <c r="A21" s="6" t="inlineStr">
        <is>
          <t>Plaques de frottement</t>
        </is>
      </c>
      <c r="B21" s="6" t="inlineStr">
        <is>
          <t>usinees en CuSn12-C, 41 x 133 (dessus) et 41 x 136 (dessous) x 6 ; pate graphite haute temperature ; 7.4 MPa au plus pour 25 admis</t>
        </is>
      </c>
    </row>
    <row r="22">
      <c r="A22" s="6" t="inlineStr">
        <is>
          <t>Tenons du coin</t>
        </is>
      </c>
      <c r="B22" s="6" t="inlineStr">
        <is>
          <t>24 x 8 x 4 de haut, conge de pied R2, 11.2 MPa de flexion, 30 MPa de matage, garde 2 sous le bronze</t>
        </is>
      </c>
    </row>
    <row r="23">
      <c r="A23" s="6" t="inlineStr">
        <is>
          <t>Portee de la plaquette haute</t>
        </is>
      </c>
      <c r="B23" s="6" t="inlineStr">
        <is>
          <t>33.0 x 49.0 mm (sur 60) en fin de course, 7.4 MPa</t>
        </is>
      </c>
    </row>
    <row r="24">
      <c r="A24" s="6" t="inlineStr">
        <is>
          <t>Portee de la plaquette basse</t>
        </is>
      </c>
      <c r="B24" s="6" t="inlineStr">
        <is>
          <t>41.0 x 47.0 mm (sur 58) en fin de course, 6.2 MPa</t>
        </is>
      </c>
    </row>
    <row r="25">
      <c r="A25" s="6" t="inlineStr">
        <is>
          <t>Aretes des pieces de tole</t>
        </is>
      </c>
      <c r="B25" s="6" t="inlineStr">
        <is>
          <t>ebavurees, sans chanfrein ; les calculs comptent 0.8 non portant a chaque bord</t>
        </is>
      </c>
    </row>
    <row r="26">
      <c r="A26" s="6" t="inlineStr">
        <is>
          <t>Effort estime a la fissuration (beton a 4 MPa)</t>
        </is>
      </c>
      <c r="B26" s="6" t="inlineStr">
        <is>
          <t>5.1 kN</t>
        </is>
      </c>
    </row>
    <row r="27">
      <c r="A27" s="6" t="inlineStr">
        <is>
          <t>Fleche a la fissuration</t>
        </is>
      </c>
      <c r="B27" s="6" t="inlineStr">
        <is>
          <t>0.12 mm</t>
        </is>
      </c>
    </row>
    <row r="28">
      <c r="A28" s="6" t="inlineStr">
        <is>
          <t>Jauge fibre sur la membrure haute</t>
        </is>
      </c>
      <c r="B28" s="6" t="inlineStr">
        <is>
          <t>18.8 microdef/kN</t>
        </is>
      </c>
    </row>
    <row r="29">
      <c r="A29" s="6" t="inlineStr">
        <is>
          <t>Calcul EF du flanc a 12 kN</t>
        </is>
      </c>
      <c r="B29" s="6" t="inlineStr">
        <is>
          <t>von Mises 213 MPa, coefficient 2.02 a froid, fleche 0.335 mm</t>
        </is>
      </c>
    </row>
    <row r="30">
      <c r="A30" s="6" t="inlineStr">
        <is>
          <t>Coefficient a 150 C</t>
        </is>
      </c>
      <c r="B30" s="6" t="inlineStr">
        <is>
          <t>1.83 en 42CrMo4 +A de 8 mm (Re 390 a chaud, pour 430 a 20 C EXIGES au certificat)</t>
        </is>
      </c>
    </row>
    <row r="31">
      <c r="A31" s="6" t="inlineStr">
        <is>
          <t>Flambement hors plan des flancs</t>
        </is>
      </c>
      <c r="B31" s="6" t="inlineStr">
        <is>
          <t>facteur critique 38.2 couche, 38.3 debout (les deux flancs penchent ensemble, tenus par la flexion des 9 entretoises tubulaires, bouts serres)</t>
        </is>
      </c>
    </row>
    <row r="32">
      <c r="A32" s="6" t="inlineStr">
        <is>
          <t>Flambement, flancs en sens contraire</t>
        </is>
      </c>
      <c r="B32" s="6" t="inlineStr">
        <is>
          <t>au moins 31.9 (calcul du 18/09/2026, avant les entretoises de chape et de sommet)</t>
        </is>
      </c>
    </row>
    <row r="33"/>
    <row r="34">
      <c r="A34" s="5" t="inlineStr">
        <is>
          <t>charge</t>
        </is>
      </c>
      <c r="B34" s="5" t="inlineStr">
        <is>
          <t>descente du coulisseau</t>
        </is>
      </c>
    </row>
    <row r="35">
      <c r="A35" s="6" t="inlineStr">
        <is>
          <t>2 kN</t>
        </is>
      </c>
      <c r="B35" s="6" t="inlineStr">
        <is>
          <t>1.45 mm</t>
        </is>
      </c>
    </row>
    <row r="36">
      <c r="A36" s="6" t="inlineStr">
        <is>
          <t>4 kN</t>
        </is>
      </c>
      <c r="B36" s="6" t="inlineStr">
        <is>
          <t>2.97 mm</t>
        </is>
      </c>
    </row>
    <row r="37">
      <c r="A37" s="6" t="inlineStr">
        <is>
          <t>6 kN</t>
        </is>
      </c>
      <c r="B37" s="6" t="inlineStr">
        <is>
          <t>4.55 mm</t>
        </is>
      </c>
    </row>
    <row r="38">
      <c r="A38" s="6" t="inlineStr">
        <is>
          <t>8 kN</t>
        </is>
      </c>
      <c r="B38" s="6" t="inlineStr">
        <is>
          <t>6.19 mm</t>
        </is>
      </c>
    </row>
    <row r="39">
      <c r="A39" s="6" t="inlineStr">
        <is>
          <t>10 kN</t>
        </is>
      </c>
      <c r="B39" s="6" t="inlineStr">
        <is>
          <t>7.89 mm</t>
        </is>
      </c>
    </row>
    <row r="40">
      <c r="A40" s="6" t="inlineStr">
        <is>
          <t>12 kN</t>
        </is>
      </c>
      <c r="B40" s="6" t="inlineStr">
        <is>
          <t>9.65 mm</t>
        </is>
      </c>
    </row>
    <row r="41"/>
    <row r="42">
      <c r="A42" s="2" t="inlineStr">
        <is>
          <t>Graduation de charge gravee sur le flanc, loi non lineaire :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Ordre de montage</t>
        </is>
      </c>
    </row>
    <row r="3">
      <c r="B3" s="11" t="inlineStr">
        <is>
          <t>Le cadre se monte A PLAT : les entretoises, la traverse et la tete de charge doivent etre en place avant de presenter le second flanc. Les numeros V renvoient a la visserie.</t>
        </is>
      </c>
    </row>
    <row r="4">
      <c r="A4" s="4" t="n">
        <v>1</v>
      </c>
      <c r="B4" s="3" t="inlineStr">
        <is>
          <t>Eprouvette, a l avance. Coller les deux plats 20 x 2 sous la poutrelle, a y = +/- 34 (axe des flancs), sur toute la longueur ; poncer P80 et degraisser les deux faces ; polymeriser.</t>
        </is>
      </c>
    </row>
    <row r="5">
      <c r="A5" s="4" t="n">
        <v>2</v>
      </c>
      <c r="B5" s="3" t="inlineStr">
        <is>
          <t>Coin, a l avance. Poser chaque plaque de frottement, encoches sur les tenons (la plus longue, 136, dessous), et la tenir par ses deux vis V9 dans leurs oblongs, SANS les bloquer : la plaquette doit glisser sous les tetes (pate a l eau sur le filet, ou une goutte de frein-filet faible). PAS de colle : bronze et acier ne se dilatent pas pareil. Puis pate graphite haute temperature sur les faces de glissement, rien sur les sieges.</t>
        </is>
      </c>
    </row>
    <row r="6">
      <c r="A6" s="4" t="n">
        <v>3</v>
      </c>
      <c r="B6" s="3" t="inlineStr">
        <is>
          <t>Poussoir, a l avance. Empiler les 3 plateaux, alesages alignes sur un rond de 25 ; passer les deux vis V3 PAR DESSOUS (tete sous le plateau bas), rondelle et ecrou au dessus, serrer a 8 N.m. Le poussoir est desormais un bloc ; il sert a toutes les eprouvettes.</t>
        </is>
      </c>
    </row>
    <row r="7">
      <c r="A7" s="4" t="n">
        <v>4</v>
      </c>
      <c r="B7" s="3" t="inlineStr">
        <is>
          <t>Sous-ensemble de chape, sur l etabli. Sur la vis H M16 x 160 (02d), enfiler sous la tete les deux rondelles AS (V6), pate graphite entre elles, les deux platines, les deux rondelles trempees (V5), puis visser les deux ecrous HM (V7) : 0,1 a 0,3 mm de jeu axial, contre-bloquer. Pate cuivre sur le filet de la vis.</t>
        </is>
      </c>
    </row>
    <row r="8">
      <c r="A8" s="4" t="n">
        <v>5</v>
      </c>
      <c r="B8" s="3" t="inlineStr">
        <is>
          <t>Empilement. Mesurer la poutrelle avec ses plats, les patins d appui sous la rainure, le patin de charge, le poussoir et la pile libre. Du sommet des bossages au dessous du coulisseau, le nominal fait 203,1 (8,5 + 2 + 107 + 10 + 24 + 51,6). S il manque plus de 1 mm, prevoir entre poussoir et pile la cale de 1, de 2 ou les deux (V4) : au dela des 12 kN le coin ne garde que 2,4 mm de reserve en hauteur.</t>
        </is>
      </c>
    </row>
    <row r="9">
      <c r="A9" s="4" t="n">
        <v>6</v>
      </c>
      <c r="B9" s="3" t="inlineStr">
        <is>
          <t>Premier flanc. Poser a plat, sur cales de 20, le flanc OPPOSE a la chape, face gravee DESSOUS : la graduation doit finir a l exterieur. Passer par dessous, rondelle sous tete, les 7 vis V1 (4 de coin, 2 de bielle, 1 de sommet) et les 2 vis V8 (chape, x = +/- 52). Enfiler une entretoise de 60 sur chacune des 9 vis.</t>
        </is>
      </c>
    </row>
    <row r="10">
      <c r="A10" s="4" t="n">
        <v>7</v>
      </c>
      <c r="B10" s="3" t="inlineStr">
        <is>
          <t>Traverse. Engager dans la mortaise le paquet des 6 plaques, serre par les deux vis V2 (rondelle sous tete et sous ecrou ISO 7042, 25 N.m) ; chants dresses du cote du coin.</t>
        </is>
      </c>
    </row>
    <row r="11">
      <c r="A11" s="4" t="n">
        <v>8</v>
      </c>
      <c r="B11" s="3" t="inlineStr">
        <is>
          <t>Poutrelle. La coucher dans la fenetre du flanc, plats vers les bossages, SANS ses patins d appui, sur cales de 6,5 sous sa face laterale (elle descend de 13,5 sous le flanc).</t>
        </is>
      </c>
    </row>
    <row r="12">
      <c r="A12" s="4" t="n">
        <v>9</v>
      </c>
      <c r="B12" s="3" t="inlineStr">
        <is>
          <t>Tete de charge. Encoller le patin de charge sur sa face inferieure et le poser au milieu de la poutrelle, centre au trace, bombe vers la tete ; poser dessus le poussoir visse (3 plateaux), tetes de vis en bas de part et d autre du patin ; poser la cale eventuelle (V4), la pile TETE-BECHE (grand diametre aux deux bouts) puis le coulisseau, tourillon colle dessous a l avance (Loctite 648 dans l alesage degraisse, polymeriser avant montage), cote epais de sa pente vers la chape. De cet encollage a la precharge, tout doit tenir dans la vie en pot de la colle : faire d abord les etapes 2 a 5 et preparer la visserie. Si elle est trop courte, coller le patin de charge la veille sur la poutrelle, centre au trace, sous une masse.</t>
        </is>
      </c>
    </row>
    <row r="13">
      <c r="A13" s="4" t="n">
        <v>10</v>
      </c>
      <c r="B13" s="3" t="inlineStr">
        <is>
          <t>Second flanc. Le presenter face gravee DESSUS : il enfile les 9 vis, les tenons de la traverse et la poutrelle dans sa fenetre. Poser les 7 ecrous V1 sur rondelle, serres sans bloquer.</t>
        </is>
      </c>
    </row>
    <row r="14">
      <c r="A14" s="4" t="n">
        <v>11</v>
      </c>
      <c r="B14" s="3" t="inlineStr">
        <is>
          <t>Chape. Enfiler sur les deux vis V8 les entretoises de butee de 71,5, puis le sous-ensemble de chape, la vis passant par la fente du coin ; 4 rondelles et un ecrou H par vis, 25 N.m, puis le contre-ecrou H bloque contre lui en tenant le premier.</t>
        </is>
      </c>
    </row>
    <row r="15">
      <c r="A15" s="4" t="n">
        <v>12</v>
      </c>
      <c r="B15" s="3" t="inlineStr">
        <is>
          <t>Pieds. Dresser le cadre et le poser dans ses deux pieds couches, encoche dans encoche : les nodes serrent de 0,1 par cote, chasser au maillet. Bloquer les V1 a 25 N.m. La poutrelle, sans patins, repose sur les bossages.</t>
        </is>
      </c>
    </row>
    <row r="16">
      <c r="A16" s="4" t="n">
        <v>13</v>
      </c>
      <c r="B16" s="3" t="inlineStr">
        <is>
          <t>Patins d appui, coin non engage. Soulever la poutrelle d environ 9,5 mm, glisser les 4 patins par la fenetre, rainure SECHE sur le bossage (c est un balancier, il doit basculer) et colle sur la face superieure seulement, contre le plat ; reposer.</t>
        </is>
      </c>
    </row>
    <row r="17">
      <c r="A17" s="4" t="n">
        <v>14</v>
      </c>
      <c r="B17" s="3" t="inlineStr">
        <is>
          <t>Guides. Visser les 4 CHC M8 x 12 au travers des lumieres dans les taraudages du coulisseau. C est la TETE qui guide : jamais de vis a tete fraisee.</t>
        </is>
      </c>
    </row>
    <row r="18">
      <c r="A18" s="4" t="n">
        <v>15</v>
      </c>
      <c r="B18" s="3" t="inlineStr">
        <is>
          <t>Coin. Pate cuivre dans son taraudage ; l engager du cote des tetes de V8, bout MINCE en premier, par la fente du flanc, entre la traverse et le coulisseau ; visser la vis jusqu au contact. Le bout epais doit alors etre a moins de 5 mm de sa position de repos, 47,5 mm hors de la face exterieure du flanc ; sinon revoir les cales (etape 5).</t>
        </is>
      </c>
    </row>
    <row r="19">
      <c r="A19" s="4" t="n">
        <v>16</v>
      </c>
      <c r="B19" s="3" t="inlineStr">
        <is>
          <t>Precharge. 0,84 tour de vis au dela du contact (0,36 mm de pile, 1,7 mm de coin) donne 0,5 kN. Laisser polymeriser sous cette precharge : l epoxy rattrape l hyperstaticite des quatre appuis. Post-cuire selon la notice Duralco avant toute mise en charge.</t>
        </is>
      </c>
    </row>
    <row r="20">
      <c r="A20" s="4" t="n">
        <v>17</v>
      </c>
      <c r="B20" s="3" t="inlineStr">
        <is>
          <t>Etalonnage. Etalonner la graduation de charge sur presse, ou par la fibre de la membrure.</t>
        </is>
      </c>
    </row>
    <row r="22">
      <c r="A22" s="1" t="inlineStr">
        <is>
          <t>Position debout, dans l'etuve</t>
        </is>
      </c>
    </row>
    <row r="24">
      <c r="A24" s="4" t="n">
        <v>1</v>
      </c>
      <c r="B24" s="3" t="inlineStr">
        <is>
          <t>Accrocher d abord les 4 crochets aux parois de l etuve : crochet a l horizontale, engager les trois tetes de langue DE FACE dans leurs trous carres, puis laisser descendre : les becs retombent derriere la paroi.</t>
        </is>
      </c>
    </row>
    <row r="25">
      <c r="A25" s="4" t="n">
        <v>2</v>
      </c>
      <c r="B25" s="3" t="inlineStr">
        <is>
          <t>Le cadre couche sur ses pieds, engager les deux pieds en V UN PAR UN sur les deux coins d un meme about, chacun chasse le long de sa propre encoche a 38 degres (maillet, nodes). Ils ne se montent pas ensemble : leurs encoches font 76 degres entre elles.</t>
        </is>
      </c>
    </row>
    <row r="26">
      <c r="A26" s="4" t="n">
        <v>3</v>
      </c>
      <c r="B26" s="3" t="inlineStr">
        <is>
          <t>Soulever le cadre hors des pieds couches, qui restent sur la paillasse, et le dresser sur ses pieds en V.</t>
        </is>
      </c>
    </row>
    <row r="27">
      <c r="A27" s="4" t="n">
        <v>4</v>
      </c>
      <c r="B27" s="3" t="inlineStr">
        <is>
          <t>L entrer dans l etuve vis vers la porte, pieds tenus 5 mm au dessus des appuis jusqu au fond, puis descendre les quatre fentes des pieds sur les dents des crochets.</t>
        </is>
      </c>
    </row>
    <row r="28">
      <c r="A28" s="4" t="n">
        <v>5</v>
      </c>
      <c r="B28" s="3" t="inlineStr">
        <is>
          <t>Calage de la poutrelle debout : point ouvert, assume (voir DEBOUT.md, paragraphe 6).</t>
        </is>
      </c>
    </row>
    <row r="30">
      <c r="A30" s="1" t="inlineStr">
        <is>
          <t>Changement d'eprouvette</t>
        </is>
      </c>
    </row>
    <row r="32">
      <c r="B32" s="11" t="inlineStr">
        <is>
          <t>Les plats, les patins d appui et le patin de charge sont colles sur la poutrelle et partent avec elle : il faut un jeu neuf par eprouvette (4 patins d appui, 1 patin de charge, 2 plats ; colle). Le poussoir visse porte sur le patin de charge, centre par le tourillon, et la tete ne peut remonter que de 11 avant que le coulisseau touche les entretoises de chape : l eprouvette ne sort pas cadre ferme, on rouvre le flanc cote chape.</t>
        </is>
      </c>
    </row>
    <row r="33">
      <c r="A33" s="4" t="n">
        <v>1</v>
      </c>
      <c r="B33" s="3" t="inlineStr">
        <is>
          <t>Decharger : devisser la vis jusqu a liberer la pile, puis jusqu a degager le filet ; sortir le coin du cote des tetes de V8.</t>
        </is>
      </c>
    </row>
    <row r="34">
      <c r="A34" s="4" t="n">
        <v>2</v>
      </c>
      <c r="B34" s="3" t="inlineStr">
        <is>
          <t>Deposer les 4 guides. Sortir le cadre de l etuve ou de ses pieds et le coucher a plat, chape en haut, sur cales de 20.</t>
        </is>
      </c>
    </row>
    <row r="35">
      <c r="A35" s="4" t="n">
        <v>3</v>
      </c>
      <c r="B35" s="3" t="inlineStr">
        <is>
          <t>Deposer les ecrous et rondelles des deux V8, le sous-ensemble de chape d un bloc (platines et vis), puis les deux entretoises de butee.</t>
        </is>
      </c>
    </row>
    <row r="36">
      <c r="A36" s="4" t="n">
        <v>4</v>
      </c>
      <c r="B36" s="3" t="inlineStr">
        <is>
          <t>Deposer les 7 ecrous V1 et soulever le flanc cote chape.</t>
        </is>
      </c>
    </row>
    <row r="37">
      <c r="A37" s="4" t="n">
        <v>5</v>
      </c>
      <c r="B37" s="3" t="inlineStr">
        <is>
          <t>Sortir l eprouvette avec sa tete de charge ; sur l etabli, soulever le poussoir visse, qui resservira tel quel : le patin de charge reste colle sur la poutrelle.</t>
        </is>
      </c>
    </row>
    <row r="38">
      <c r="A38" s="4" t="n">
        <v>6</v>
      </c>
      <c r="B38" s="3" t="inlineStr">
        <is>
          <t>Remonter la nouvelle eprouvette, preparee aux etapes 1 et 5 de l ordre de montage, en reprenant a l etape 8 : le premier flanc a garde ses vis, ses entretoises et la traverse.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2026-10-20T12:59:23Z</dcterms:created>
  <dcterms:modified xsi:type="dcterms:W3CDTF">2026-10-20T12:59:23Z</dcterms:modified>
</cp:coreProperties>
</file>