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Finition des flancs** : apres decoupe et aretes cassees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brunissage. Noir mat pour la correlation d images, et quasi sans epaisseur : ni les jeux des encoches ni les serrages des entretoises n en dependent. Les autres pieces restent brutes.</t>
        </is>
      </c>
    </row>
    <row r="12">
      <c r="A12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3">
      <c r="A13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8" customWidth="1" min="3" max="3"/>
    <col width="19" customWidth="1" min="4" max="4"/>
    <col width="44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10.206</v>
      </c>
      <c r="G4" s="7">
        <f>C4*F4</f>
        <v/>
      </c>
      <c r="H4" s="6" t="inlineStr">
        <is>
          <t>decoupe laser, aretes cassees 0,8 x 45 deg,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 ; finition : apres decoupe et aretes cassees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0.325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65 x 45, L 120 (fini 61 x 40 x 114,5)</t>
        </is>
      </c>
      <c r="F9" s="7" t="n">
        <v>1.371</v>
      </c>
      <c r="G9" s="7">
        <f>C9*F9</f>
        <v/>
      </c>
      <c r="H9" s="6" t="inlineStr">
        <is>
          <t>acier taraude M16 sur 80 depuis le bout EPAIS, passage 18 au dela ; porte les deux plaques de frottement en bronze entre rebords de 3 : dessus 5,25, dessous 5,41 (faces normales a la pente)</t>
        </is>
      </c>
    </row>
    <row r="10">
      <c r="A10" s="6" t="inlineStr">
        <is>
          <t>06c</t>
        </is>
      </c>
      <c r="B10" s="6" t="inlineStr">
        <is>
          <t>Plaque de frottement, dessus</t>
        </is>
      </c>
      <c r="C10" s="6" t="n">
        <v>1</v>
      </c>
      <c r="D10" s="6" t="inlineStr">
        <is>
          <t>CuSn12-C</t>
        </is>
      </c>
      <c r="E10" s="6" t="inlineStr">
        <is>
          <t>plat 40 x 6</t>
        </is>
      </c>
      <c r="F10" s="7" t="n">
        <v>0.171</v>
      </c>
      <c r="G10" s="7">
        <f>C10*F10</f>
        <v/>
      </c>
      <c r="H10" s="6" t="inlineStr">
        <is>
          <t>fraisee 38 x 102 x 5, sans trou, faces planes et paralleles a 0,02, Ra 0,8 cote glissement, aretes cassees 0,3 ; entre ses deux rebords sur le dessus du coin, points de silicone HT au montage ; pate graphite haute temperature sur la face qui glisse sous la traverse</t>
        </is>
      </c>
    </row>
    <row r="11">
      <c r="A11" s="6" t="inlineStr">
        <is>
          <t>06d</t>
        </is>
      </c>
      <c r="B11" s="6" t="inlineStr">
        <is>
          <t>Plaque de frottement, dessous</t>
        </is>
      </c>
      <c r="C11" s="6" t="n">
        <v>1</v>
      </c>
      <c r="D11" s="6" t="inlineStr">
        <is>
          <t>CuSn12-C</t>
        </is>
      </c>
      <c r="E11" s="6" t="inlineStr">
        <is>
          <t>plat 40 x 6</t>
        </is>
      </c>
      <c r="F11" s="7" t="n">
        <v>0.174</v>
      </c>
      <c r="G11" s="7">
        <f>C11*F11</f>
        <v/>
      </c>
      <c r="H11" s="6" t="inlineStr">
        <is>
          <t>comme la haute, mais 38 x 104 x 5 ; entre ses deux rebords sous le coin, points de silicone HT au montage ; pate graphite haute temperature sur la face qui glisse sur la pente du coulisseau</t>
        </is>
      </c>
    </row>
    <row r="12">
      <c r="A12" s="6" t="inlineStr">
        <is>
          <t>07</t>
        </is>
      </c>
      <c r="B12" s="6" t="inlineStr">
        <is>
          <t>Platine de butee de la vis</t>
        </is>
      </c>
      <c r="C12" s="6" t="n">
        <v>2</v>
      </c>
      <c r="D12" s="6" t="inlineStr">
        <is>
          <t>42CrMo4 +A</t>
        </is>
      </c>
      <c r="E12" s="6" t="inlineStr">
        <is>
          <t>tole 8 mm, cert. 3.1, Re &gt;= 430</t>
        </is>
      </c>
      <c r="F12" s="7" t="n">
        <v>0.451</v>
      </c>
      <c r="G12" s="7">
        <f>C12*F12</f>
        <v/>
      </c>
      <c r="H12" s="6" t="inlineStr">
        <is>
          <t>meme tole 42CrMo4 que les flancs (imbriquees dans leurs chutes), empilees et serrees par les deux vis H M10 x 200 de la chape</t>
        </is>
      </c>
    </row>
    <row r="13">
      <c r="A13" s="6" t="inlineStr">
        <is>
          <t>07b</t>
        </is>
      </c>
      <c r="B13" s="6" t="inlineStr">
        <is>
          <t>Entretoise de butee</t>
        </is>
      </c>
      <c r="C13" s="6" t="n">
        <v>2</v>
      </c>
      <c r="D13" s="6" t="inlineStr">
        <is>
          <t>E235+C EN 10305-1</t>
        </is>
      </c>
      <c r="E13" s="6" t="inlineStr">
        <is>
          <t>tube de precision 20 x 2</t>
        </is>
      </c>
      <c r="F13" s="7" t="n">
        <v>0.063</v>
      </c>
      <c r="G13" s="7">
        <f>C13*F13</f>
        <v/>
      </c>
      <c r="H13" s="6" t="inlineStr">
        <is>
          <t>coupee a 71,5 +/-0,2, faces dressees ; en compression pure : c est elle qui porte l effort de commande</t>
        </is>
      </c>
    </row>
    <row r="14">
      <c r="A14" s="6" t="inlineStr">
        <is>
          <t>04a</t>
        </is>
      </c>
      <c r="B14" s="6" t="inlineStr">
        <is>
          <t>Patin d'appui rainure</t>
        </is>
      </c>
      <c r="C14" s="6" t="n">
        <v>4</v>
      </c>
      <c r="D14" s="6" t="inlineStr">
        <is>
          <t>S355JR</t>
        </is>
      </c>
      <c r="E14" s="6" t="inlineStr">
        <is>
          <t>tole 10 mm</t>
        </is>
      </c>
      <c r="F14" s="7" t="n">
        <v>0.129</v>
      </c>
      <c r="G14" s="7">
        <f>C14*F14</f>
        <v/>
      </c>
      <c r="H14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5">
      <c r="A15" s="6" t="inlineStr">
        <is>
          <t>04b</t>
        </is>
      </c>
      <c r="B15" s="6" t="inlineStr">
        <is>
          <t>Patin de charge</t>
        </is>
      </c>
      <c r="C15" s="6" t="n">
        <v>1</v>
      </c>
      <c r="D15" s="6" t="inlineStr">
        <is>
          <t>S355JR</t>
        </is>
      </c>
      <c r="E15" s="6" t="inlineStr">
        <is>
          <t>tole 10 mm</t>
        </is>
      </c>
      <c r="F15" s="7" t="n">
        <v>0.446</v>
      </c>
      <c r="G15" s="7">
        <f>C15*F15</f>
        <v/>
      </c>
      <c r="H15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6">
      <c r="A16" s="6" t="inlineStr">
        <is>
          <t>06b</t>
        </is>
      </c>
      <c r="B16" s="6" t="inlineStr">
        <is>
          <t>Entretoise tubulaire</t>
        </is>
      </c>
      <c r="C16" s="6" t="n">
        <v>9</v>
      </c>
      <c r="D16" s="6" t="inlineStr">
        <is>
          <t>E235+C EN 10305-1</t>
        </is>
      </c>
      <c r="E16" s="6" t="inlineStr">
        <is>
          <t>tube de precision 20 x 2</t>
        </is>
      </c>
      <c r="F16" s="7" t="n">
        <v>0.053</v>
      </c>
      <c r="G16" s="7">
        <f>C16*F16</f>
        <v/>
      </c>
      <c r="H16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7">
      <c r="A17" s="6" t="inlineStr">
        <is>
          <t>05</t>
        </is>
      </c>
      <c r="B17" s="6" t="inlineStr">
        <is>
          <t>Pied a mi-bois</t>
        </is>
      </c>
      <c r="C17" s="6" t="n">
        <v>4</v>
      </c>
      <c r="D17" s="6" t="inlineStr">
        <is>
          <t>S355JR</t>
        </is>
      </c>
      <c r="E17" s="6" t="inlineStr">
        <is>
          <t>tole 8 mm, cert. 2.2</t>
        </is>
      </c>
      <c r="F17" s="7" t="n">
        <v>0.87</v>
      </c>
      <c r="G17" s="7">
        <f>C17*F17</f>
        <v/>
      </c>
      <c r="H17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8">
      <c r="A18" s="6" t="inlineStr">
        <is>
          <t>05c</t>
        </is>
      </c>
      <c r="B18" s="6" t="inlineStr">
        <is>
          <t>Crochet d etuve</t>
        </is>
      </c>
      <c r="C18" s="6" t="n">
        <v>4</v>
      </c>
      <c r="D18" s="6" t="inlineStr">
        <is>
          <t>S355JR</t>
        </is>
      </c>
      <c r="E18" s="6" t="inlineStr">
        <is>
          <t>tole 8 mm, cert. 2.2</t>
        </is>
      </c>
      <c r="F18" s="7" t="n">
        <v>0.173</v>
      </c>
      <c r="G18" s="7">
        <f>C18*F18</f>
        <v/>
      </c>
      <c r="H18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9">
      <c r="A19" s="8" t="n"/>
      <c r="B19" s="8" t="n"/>
      <c r="C19" s="8" t="n"/>
      <c r="D19" s="8" t="n"/>
      <c r="E19" s="8" t="n"/>
      <c r="F19" s="9" t="inlineStr">
        <is>
          <t>total</t>
        </is>
      </c>
      <c r="G19" s="10">
        <f>SUM(G4:G18)</f>
        <v/>
      </c>
      <c r="H1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61" customWidth="1" min="4" max="4"/>
    <col width="17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02d</t>
        </is>
      </c>
      <c r="B5" s="6" t="inlineStr">
        <is>
          <t>Vis de commande H M16 x 160</t>
        </is>
      </c>
      <c r="C5" s="6" t="n">
        <v>1</v>
      </c>
      <c r="D5" s="6" t="inlineStr">
        <is>
          <t>vis H M16 x 160 ISO 4017 8.8 brute, filetee jusqu a la tete</t>
        </is>
      </c>
      <c r="E5" s="6" t="inlineStr">
        <is>
          <t>8.8</t>
        </is>
      </c>
      <c r="F5" s="7" t="n">
        <v>0.345</v>
      </c>
      <c r="G5" s="6" t="inlineStr">
        <is>
          <t>piece du commerce, filetee jusqu a la tete, montee a la pate cuivre ; tete de 10 (douille de 24) sur la butee ; ecrous et butee figures : ils montrent l arret axial dans les deux sens</t>
        </is>
      </c>
    </row>
    <row r="6">
      <c r="A6" s="6" t="inlineStr">
        <is>
          <t>04c</t>
        </is>
      </c>
      <c r="B6" s="6" t="inlineStr">
        <is>
          <t>Plat de renfort colle</t>
        </is>
      </c>
      <c r="C6" s="6" t="n">
        <v>2</v>
      </c>
      <c r="D6" s="6" t="inlineStr">
        <is>
          <t>feuillard 20 x 2 S235, coupe a 840</t>
        </is>
      </c>
      <c r="E6" s="6" t="inlineStr">
        <is>
          <t>S235</t>
        </is>
      </c>
      <c r="F6" s="7" t="n">
        <v>0.26</v>
      </c>
      <c r="G6" s="6" t="inlineStr">
        <is>
          <t>piece du commerce, coupee a longueur, bavures retirees ; collee sur toute la longueur a y = +/- 34, poncer et degraisser les deux faces ; un jeu par eprouvette</t>
        </is>
      </c>
    </row>
    <row r="7">
      <c r="A7" s="6" t="inlineStr">
        <is>
          <t>02e</t>
        </is>
      </c>
      <c r="B7" s="6" t="inlineStr">
        <is>
          <t>Pile de 12 rondelles Belleville</t>
        </is>
      </c>
      <c r="C7" s="6" t="n">
        <v>1</v>
      </c>
      <c r="D7" s="6" t="inlineStr">
        <is>
          <t>12 rondelles EN 16983 A50</t>
        </is>
      </c>
      <c r="E7" s="6" t="inlineStr">
        <is>
          <t>51CrV4 (1.8159)</t>
        </is>
      </c>
      <c r="F7" s="7" t="n">
        <v>0.412</v>
      </c>
      <c r="G7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8"/>
    <row r="9">
      <c r="A9" s="2" t="inlineStr">
        <is>
          <t>Masse du cadre complet : 34.3 kg. Poutrelle beton : 22.2 kg. Masses du modele 3D (out/masses.json du 09/10/2026).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4017 8.8 zinguee (filetage total)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80, filetage total : la vis depasse de l ecrou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Vis TH M10 x 100 ISO 4017 8.8 zinguee (filetage total) + ecrou ISO 7042 classe 8, autofreine tout metal + 2 rondelles ISO 7089 M10 : MEME ARTICLE QUE V1</t>
        </is>
      </c>
      <c r="C5" s="6" t="n">
        <v>2</v>
      </c>
      <c r="D5" s="6" t="inlineStr">
        <is>
          <t>paquet de plaques de traverse, a y = +/- 17 : les deux vis tiennent les plaques alignees pour dresser le chant en paquet ; elles ne reprennent aucune charge. Serrage 52, la vis depasse de l ecrou de 38, entre les flancs ; 25 N.m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V7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Rondelle trempee AS 1730 (17 x 30 x 1) : MEME ARTICLE QUE V5</t>
        </is>
      </c>
      <c r="C9" s="6" t="n">
        <v>2</v>
      </c>
      <c r="D9" s="6" t="inlineStr">
        <is>
          <t>sous la tete de la vis de commande, face EXTERIEURE des platines : elles encaissent les 5.5 kN de commande ; pate graphite haute temperature entre elles, la tete tourne dessus</t>
        </is>
      </c>
    </row>
    <row r="10">
      <c r="A10" s="6" t="inlineStr">
        <is>
          <t>V7</t>
        </is>
      </c>
      <c r="B10" s="6" t="inlineStr">
        <is>
          <t>Ecrou M16 HM ISO 4035</t>
        </is>
      </c>
      <c r="C10" s="6" t="n">
        <v>2</v>
      </c>
      <c r="D10" s="6" t="inlineStr">
        <is>
          <t>bloques l un sur l autre cote interieur des platines, sur les rondelles V5, avec 0,1 a 0,3 de jeu axial : ils ne retiennent la vis qu au desserrage, 329 N</t>
        </is>
      </c>
    </row>
    <row r="11">
      <c r="A11" s="6" t="inlineStr">
        <is>
          <t>V8</t>
        </is>
      </c>
      <c r="B11" s="6" t="inlineStr">
        <is>
          <t>Vis H M10 x 200 ISO 4014 8.8 zinguee (filetee sur 32) + 2 ecrous H M10 ISO 4032 classe 8 + 5 rondelles ISO 7089 M10</t>
        </is>
      </c>
      <c r="C11" s="6" t="n">
        <v>2</v>
      </c>
      <c r="D11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vis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14.5 N.m</t>
        </is>
      </c>
    </row>
    <row r="17">
      <c r="A17" s="6" t="inlineStr">
        <is>
          <t>Couple de serrage des vis M10 (V1, V8)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usinees en CuSn12-C, 38 x 102 (dessus) et 38 x 104 (dessous) x 5 ; pate graphite haute temperature ; 7.6 MPa au plus pour 25 admis</t>
        </is>
      </c>
    </row>
    <row r="22">
      <c r="A22" s="6" t="inlineStr">
        <is>
          <t>Rebords des plaquettes</t>
        </is>
      </c>
      <c r="B22" s="6" t="inlineStr">
        <is>
          <t>5.25 (dessus) et 5.41 (dessous) x 3, 11.8 MPa de flexion, garde 2 sous le bronze</t>
        </is>
      </c>
    </row>
    <row r="23">
      <c r="A23" s="6" t="inlineStr">
        <is>
          <t>Portee de la plaquette haute</t>
        </is>
      </c>
      <c r="B23" s="6" t="inlineStr">
        <is>
          <t>30.0 x 52.8 mm (sur 60) en fin de course, 7.6 MPa</t>
        </is>
      </c>
    </row>
    <row r="24">
      <c r="A24" s="6" t="inlineStr">
        <is>
          <t>Portee de la plaquette basse</t>
        </is>
      </c>
      <c r="B24" s="6" t="inlineStr">
        <is>
          <t>38.0 x 50.6 mm (sur 58) en fin de course, 6.2 MPa</t>
        </is>
      </c>
    </row>
    <row r="25">
      <c r="A25" s="6" t="inlineStr">
        <is>
          <t>Arete cassee des pieces de tole</t>
        </is>
      </c>
      <c r="B25" s="6" t="inlineStr">
        <is>
          <t>0.8 x 45 degres sur les deux faces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Degraisser les deux sieges ; poser chaque plaque de frottement ENTRE SES DEUX REBORDS (la plus longue, 104, dessous), quelques points de silicone haute temperature sur le siege degraisse -- PAS d epoxy, bronze et acier ne se dilatent pas pareil ; laisser prendre. PUIS seulement, pate graphite haute temperature sur les faces de glissement, rien sur les sieges : le silicone ne prend pas sur une pate.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vis H M16 x 160 (02d), enfiler sous la tete les deux rondelles AS (V6), pate graphite entre elles, les deux platines, les deux rondelles trempees (V5), puis visser les deux ecrous HM (V7) : 0,1 a 0,3 mm de jeu axial, contre-bloquer. Pate cuivre sur le filet de la vis.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V8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les deux vis V2 (rondelle sous tete et sous ecrou ISO 7042, 25 N.m) ; chants dresses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V8 les entretoises de butee de 71,5, puis le sous-ensemble de chape, la vis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V8, bout MINCE en premier, par la fente du flanc, entre la traverse et le coulisseau ; visser la vis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vis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vis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9,9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vis jusqu a liberer la pile, puis jusqu a degager le filet ; sortir le coin du cote des tetes de V8.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V8, le sous-ensemble de chape d un bloc (platines et vis),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2026-10-09T15:04:43Z</dcterms:created>
  <dcterms:modified xsi:type="dcterms:W3CDTF">2026-10-09T15:04:43Z</dcterms:modified>
</cp:coreProperties>
</file>