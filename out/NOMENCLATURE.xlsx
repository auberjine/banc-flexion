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Pieces fabriquees" sheetId="2" state="visible" r:id="rId2"/>
    <sheet name="Pieces du commerce" sheetId="3" state="visible" r:id="rId3"/>
    <sheet name="Visserie" sheetId="4" state="visible" r:id="rId4"/>
    <sheet name="DXF a decouper" sheetId="5" state="visible" r:id="rId5"/>
    <sheet name="Reglages" sheetId="6" state="visible" r:id="rId6"/>
    <sheet name="Montage" sheetId="7" state="visible" r:id="rId7"/>
  </sheets>
  <definedNames/>
  <calcPr calcId="124519" fullCalcOnLoad="1"/>
</workbook>
</file>

<file path=xl/styles.xml><?xml version="1.0" encoding="utf-8"?>
<styleSheet xmlns="http://schemas.openxmlformats.org/spreadsheetml/2006/main">
  <numFmts count="1">
    <numFmt numFmtId="164" formatCode="0.00 &quot;kg&quot;"/>
  </numFmts>
  <fonts count="6">
    <font>
      <name val="Calibri"/>
      <family val="2"/>
      <color theme="1"/>
      <sz val="11"/>
      <scheme val="minor"/>
    </font>
    <font>
      <name val="Arial"/>
      <b val="1"/>
      <sz val="14"/>
    </font>
    <font>
      <name val="Arial"/>
      <i val="1"/>
      <color rgb="00555555"/>
      <sz val="9"/>
    </font>
    <font>
      <name val="Arial"/>
      <sz val="10"/>
    </font>
    <font>
      <name val="Arial"/>
      <b val="1"/>
      <sz val="10"/>
    </font>
    <font>
      <name val="Arial"/>
      <b val="1"/>
      <color rgb="00FFFFFF"/>
      <sz val="10"/>
    </font>
  </fonts>
  <fills count="4">
    <fill>
      <patternFill/>
    </fill>
    <fill>
      <patternFill patternType="gray125"/>
    </fill>
    <fill>
      <patternFill patternType="solid">
        <fgColor rgb="0044546A"/>
      </patternFill>
    </fill>
    <fill>
      <patternFill patternType="solid">
        <fgColor rgb="00E7E6E6"/>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vertical="center" wrapText="1"/>
    </xf>
    <xf numFmtId="0" fontId="3" fillId="0" borderId="1" applyAlignment="1" pivotButton="0" quotePrefix="0" xfId="0">
      <alignment vertical="top" wrapText="1"/>
    </xf>
    <xf numFmtId="164" fontId="3" fillId="0" borderId="1" applyAlignment="1" pivotButton="0" quotePrefix="0" xfId="0">
      <alignment vertical="top" wrapText="1"/>
    </xf>
    <xf numFmtId="0" fontId="0" fillId="3" borderId="1" pivotButton="0" quotePrefix="0" xfId="0"/>
    <xf numFmtId="0" fontId="4" fillId="3" borderId="1" pivotButton="0" quotePrefix="0" xfId="0"/>
    <xf numFmtId="164" fontId="4" fillId="3"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Banc de flexion 3 points - nomenclature</t>
        </is>
      </c>
    </row>
    <row r="2">
      <c r="A2" s="2" t="inlineStr">
        <is>
          <t>Genere depuis NOMENCLATURE.md par nomenclature_xlsx.py : modifier le modele (params.py) et relancer make.py plutot que ce classeur.</t>
        </is>
      </c>
    </row>
    <row r="4">
      <c r="A4" s="3" t="inlineStr">
        <is>
          <t>Indice B du 05/10/2026. Fichier engendre par nomenclature.py ; ne pas le modifier a la main.</t>
        </is>
      </c>
    </row>
    <row r="5">
      <c r="A5" s="3" t="inlineStr">
        <is>
          <t>Poutrelle beton non arme 103 x 107 x 840, portee 750, capacite 12 kN.</t>
        </is>
      </c>
    </row>
    <row r="6">
      <c r="A6" s="3" t="inlineStr">
        <is>
          <t>Encombrement des flancs 960 x 440 x 76 mm ; selon y, de -85,5 (coin recule) a +160 (bout des vis de chape), soit 245,5 ; pieds de 518.4.</t>
        </is>
      </c>
    </row>
    <row r="8">
      <c r="A8" s="4" t="inlineStr">
        <is>
          <t>Exigences de commande</t>
        </is>
      </c>
    </row>
    <row r="9">
      <c r="A9" s="3" t="inlineStr">
        <is>
          <t>Tole de 8 en 42CrMo4** (flancs, platines de butee imbriquees dans les chutes des flancs) : 42CrMo4 recuit +A, tole 8 mm : certificat 3.1 EN 10204 avec essai de traction, Re &gt;= 430 MPa a 20 C. C est elle qui porte toute la marge du flanc. Les cartouches et la colonne brut l abregent en "tole 8 mm, cert. 3.1, Re &gt;= 430".</t>
        </is>
      </c>
    </row>
    <row r="10">
      <c r="A10" s="3" t="inlineStr">
        <is>
          <t>Tole de 8 en S355JR** (pieds, crochets, plaques de traverse, plateaux du poussoir) : S355JR, tole 8 mm du commerce : certificat 2.2 EN 10204, sans autre exigence ; abregee en "tole 8 mm, cert. 2.2". Ces pieces travaillent a quelques dizaines de MPa au plus (traverse 8 MPa en flexion et 26 au matage).</t>
        </is>
      </c>
    </row>
    <row r="11">
      <c r="A11" s="3" t="inlineStr">
        <is>
          <t>Finition des flancs** : apres decoupe et aretes cassees : SABLAGE corindon des deux faces a l identique, pression moderee (planeite), puis BRUNISSAGE noir (oxydation a chaud), aspect mat ; degraisser l huile de sortie de bain, puis film d huile ESTER synthetique haute temperature passe au chiffon et ESSUYE ; ni huile minerale ni silicone ; graduation gravee a 0.2 de profondeur au moins, traits repasses a la peinture blanche haute temperature apres brunissage. Noir mat pour la correlation d images, et quasi sans epaisseur : ni les jeux des encoches ni les serrages des entretoises n en dependent. Les autres pieces restent brutes.</t>
        </is>
      </c>
    </row>
    <row r="12">
      <c r="A12" s="3" t="inlineStr">
        <is>
          <t>Epaisseurs reelles** : mesurer les deux toles livrees, regler EP_TOLE_REELLE_42 (42CrMo4) et EP_TOLE_REELLE_S355 (S355JR) et regenerer les DXF avant decoupe. Chaque decoupe suit la tole qu elle RECOIT : EP_TOLE_REELLE_S355 (8 aujourd hui) pour les encoches a mi-bois et la mortaise de traverse du flanc et les fentes de calage du pied ; EP_TOLE_REELLE_42 (8) pour les encoches et nodes du pied et les rainures des patins.</t>
        </is>
      </c>
    </row>
    <row r="13">
      <c r="A13" s="3" t="inlineStr">
        <is>
          <t>Entretoises** : E235+C EN 10305-1, tube de precision 20 x 2 ; 9 coupees a 60 +0,1/0 et 2 a 71,5 +/-0,2, faces dressees // 0,05 : ce sont elles qui fixent l ecart des flancs.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
  <sheetViews>
    <sheetView workbookViewId="0">
      <pane ySplit="3" topLeftCell="A4" activePane="bottomLeft" state="frozen"/>
      <selection pane="bottomLeft" activeCell="A1" sqref="A1"/>
    </sheetView>
  </sheetViews>
  <sheetFormatPr baseColWidth="8" defaultRowHeight="15"/>
  <cols>
    <col width="19" customWidth="1" min="1" max="1"/>
    <col width="31" customWidth="1" min="2" max="2"/>
    <col width="8" customWidth="1" min="3" max="3"/>
    <col width="19" customWidth="1" min="4" max="4"/>
    <col width="44" customWidth="1" min="5" max="5"/>
    <col width="10" customWidth="1" min="6" max="6"/>
    <col width="14" customWidth="1" min="7" max="7"/>
    <col width="70" customWidth="1" min="8" max="8"/>
  </cols>
  <sheetData>
    <row r="1">
      <c r="A1" s="1" t="inlineStr">
        <is>
          <t>Pieces fabriquees</t>
        </is>
      </c>
    </row>
    <row r="2"/>
    <row r="3">
      <c r="A3" s="5" t="inlineStr">
        <is>
          <t>rep</t>
        </is>
      </c>
      <c r="B3" s="5" t="inlineStr">
        <is>
          <t>designation</t>
        </is>
      </c>
      <c r="C3" s="5" t="inlineStr">
        <is>
          <t>qte</t>
        </is>
      </c>
      <c r="D3" s="5" t="inlineStr">
        <is>
          <t>matiere</t>
        </is>
      </c>
      <c r="E3" s="5" t="inlineStr">
        <is>
          <t>brut</t>
        </is>
      </c>
      <c r="F3" s="5" t="inlineStr">
        <is>
          <t>masse u.</t>
        </is>
      </c>
      <c r="G3" s="5" t="inlineStr">
        <is>
          <t>masse tot.</t>
        </is>
      </c>
      <c r="H3" s="5" t="inlineStr">
        <is>
          <t>operations</t>
        </is>
      </c>
    </row>
    <row r="4">
      <c r="A4" s="6" t="inlineStr">
        <is>
          <t>01</t>
        </is>
      </c>
      <c r="B4" s="6" t="inlineStr">
        <is>
          <t>Flanc en treillis</t>
        </is>
      </c>
      <c r="C4" s="6" t="n">
        <v>2</v>
      </c>
      <c r="D4" s="6" t="inlineStr">
        <is>
          <t>42CrMo4 +A</t>
        </is>
      </c>
      <c r="E4" s="6" t="inlineStr">
        <is>
          <t>tole 8 mm, cert. 3.1, Re &gt;= 430</t>
        </is>
      </c>
      <c r="F4" s="7" t="n">
        <v>10.206</v>
      </c>
      <c r="G4" s="7">
        <f>C4*F4</f>
        <v/>
      </c>
      <c r="H4" s="6" t="inlineStr">
        <is>
          <t>decoupe laser, aretes cassees 0,8 x 45 deg, bossages non repris ; encoches a mi-bois et mortaise taillees sur la tole REELLE S355 des pieces qu elles recoivent : mesurer les deux toles livrees, regler EP_TOLE_REELLE_42 (42CrMo4) et EP_TOLE_REELLE_S355 (S355JR) et regenerer les DXF avant decoupe ; graduation de charge gravee (calque GRAVURE) d un seul cote de la lumiere, face gravee montee a l exterieur ; finition : apres decoupe et aretes cassees : SABLAGE corindon des deux faces a l identique, pression moderee (planeite), puis BRUNISSAGE noir (oxydation a chaud), aspect mat ; degraisser l huile de sortie de bain, puis film d huile ESTER synthetique haute temperature passe au chiffon et ESSUYE ; ni huile minerale ni silicone ; graduation gravee a 0.2 de profondeur au moins, traits repasses a la peinture blanche haute temperature apres brunissage</t>
        </is>
      </c>
    </row>
    <row r="5">
      <c r="A5" s="6" t="inlineStr">
        <is>
          <t>03</t>
        </is>
      </c>
      <c r="B5" s="6" t="inlineStr">
        <is>
          <t>Plaque de traverse</t>
        </is>
      </c>
      <c r="C5" s="6" t="n">
        <v>6</v>
      </c>
      <c r="D5" s="6" t="inlineStr">
        <is>
          <t>S355JR</t>
        </is>
      </c>
      <c r="E5" s="6" t="inlineStr">
        <is>
          <t>tole 8 mm, cert. 2.2</t>
        </is>
      </c>
      <c r="F5" s="7" t="n">
        <v>0.25</v>
      </c>
      <c r="G5" s="7">
        <f>C5*F5</f>
        <v/>
      </c>
      <c r="H5" s="6" t="inlineStr">
        <is>
          <t>DXF = brut : chant du bas + 1 (65 / 39) ; chants du bas FRAISES EN PAQUET serre, paquet aligne sur les faces HAUTES des tenons, a la cote finie 64 / 38, Ra 1,6 : c est le plan de glissement</t>
        </is>
      </c>
    </row>
    <row r="6">
      <c r="A6" s="6" t="inlineStr">
        <is>
          <t>02b</t>
        </is>
      </c>
      <c r="B6" s="6" t="inlineStr">
        <is>
          <t>Plateau de poussoir</t>
        </is>
      </c>
      <c r="C6" s="6" t="n">
        <v>3</v>
      </c>
      <c r="D6" s="6" t="inlineStr">
        <is>
          <t>S355JR</t>
        </is>
      </c>
      <c r="E6" s="6" t="inlineStr">
        <is>
          <t>tole 8 mm, cert. 2.2</t>
        </is>
      </c>
      <c r="F6" s="7" t="n">
        <v>0.325</v>
      </c>
      <c r="G6" s="7">
        <f>C6*F6</f>
        <v/>
      </c>
      <c r="H6" s="6" t="inlineStr">
        <is>
          <t>3 plateaux perces : alesage 25,4 traversant ; 2 trous de passage 6,6 decoupes au laser a +/- 38 ; assembles en bloc par 2 vis H M6 x 35, tete en dessous, ecrou au dessus, 8 N.m ; le patin de charge fait fond</t>
        </is>
      </c>
    </row>
    <row r="7">
      <c r="A7" s="6" t="inlineStr">
        <is>
          <t>02a</t>
        </is>
      </c>
      <c r="B7" s="6" t="inlineStr">
        <is>
          <t>Coulisseau a tete inclinee</t>
        </is>
      </c>
      <c r="C7" s="6" t="n">
        <v>1</v>
      </c>
      <c r="D7" s="6" t="inlineStr">
        <is>
          <t>S355JR</t>
        </is>
      </c>
      <c r="E7" s="6" t="inlineStr">
        <is>
          <t>plat 65 x 40, L 120 (fini 58 x 36,2 x 114)</t>
        </is>
      </c>
      <c r="F7" s="7" t="n">
        <v>1.455</v>
      </c>
      <c r="G7" s="7">
        <f>C7*F7</f>
        <v/>
      </c>
      <c r="H7" s="6" t="inlineStr">
        <is>
          <t>dessus a 12 degres sur toute la section ; alesage 25 H8 prof. 20 par dessous ; 4 taraudages M8 prof. 16 dans les faces laterales (avant-trou 6,8 prof. 19), axe a 12 du dessous, x = +/- 44</t>
        </is>
      </c>
    </row>
    <row r="8">
      <c r="A8" s="6" t="inlineStr">
        <is>
          <t>06a</t>
        </is>
      </c>
      <c r="B8" s="6" t="inlineStr">
        <is>
          <t>Tourillon de centrage</t>
        </is>
      </c>
      <c r="C8" s="6" t="n">
        <v>1</v>
      </c>
      <c r="D8" s="6" t="inlineStr">
        <is>
          <t>C45+C</t>
        </is>
      </c>
      <c r="E8" s="6" t="inlineStr">
        <is>
          <t>rond etire 25 h9 x 79.5</t>
        </is>
      </c>
      <c r="F8" s="7" t="n">
        <v>0.306</v>
      </c>
      <c r="G8" s="7">
        <f>C8*F8</f>
        <v/>
      </c>
      <c r="H8" s="6" t="inlineStr">
        <is>
          <t>rond etire h9 NON repris : tronconne, chanfrein 1,5 x 45 deg aux deux bouts ; COLLE au fond de l alesage du coulisseau (Loctite 648 (tient 175 C), alesage 25 H8 degraisse) ; centre la pile et coulisse dans le poussoir : 7,9 au repos, 4,3 de garde au dessus du patin a la butee</t>
        </is>
      </c>
    </row>
    <row r="9">
      <c r="A9" s="6" t="inlineStr">
        <is>
          <t>02c</t>
        </is>
      </c>
      <c r="B9" s="6" t="inlineStr">
        <is>
          <t>Coin de commande</t>
        </is>
      </c>
      <c r="C9" s="6" t="n">
        <v>1</v>
      </c>
      <c r="D9" s="6" t="inlineStr">
        <is>
          <t>C45</t>
        </is>
      </c>
      <c r="E9" s="6" t="inlineStr">
        <is>
          <t>plat 65 x 45, L 120 (fini 61 x 40 x 114,5)</t>
        </is>
      </c>
      <c r="F9" s="7" t="n">
        <v>1.371</v>
      </c>
      <c r="G9" s="7">
        <f>C9*F9</f>
        <v/>
      </c>
      <c r="H9" s="6" t="inlineStr">
        <is>
          <t>acier taraude M16 sur 80 depuis le bout EPAIS, passage 18 au dela ; porte les deux plaques de frottement en bronze entre rebords de 3 : dessus 5,25, dessous 5,41 (faces normales a la pente)</t>
        </is>
      </c>
    </row>
    <row r="10">
      <c r="A10" s="6" t="inlineStr">
        <is>
          <t>06c</t>
        </is>
      </c>
      <c r="B10" s="6" t="inlineStr">
        <is>
          <t>Plaque de frottement, dessus</t>
        </is>
      </c>
      <c r="C10" s="6" t="n">
        <v>1</v>
      </c>
      <c r="D10" s="6" t="inlineStr">
        <is>
          <t>CuSn12-C</t>
        </is>
      </c>
      <c r="E10" s="6" t="inlineStr">
        <is>
          <t>plat 40 x 6</t>
        </is>
      </c>
      <c r="F10" s="7" t="n">
        <v>0.171</v>
      </c>
      <c r="G10" s="7">
        <f>C10*F10</f>
        <v/>
      </c>
      <c r="H10" s="6" t="inlineStr">
        <is>
          <t>fraisee 38 x 102 x 5, sans trou, faces planes et paralleles a 0,02, Ra 0,8 cote glissement, aretes cassees 0,3 ; entre ses deux rebords sur le dessus du coin, points de silicone HT au montage ; pate graphite haute temperature sur la face qui glisse sous la traverse</t>
        </is>
      </c>
    </row>
    <row r="11">
      <c r="A11" s="6" t="inlineStr">
        <is>
          <t>06d</t>
        </is>
      </c>
      <c r="B11" s="6" t="inlineStr">
        <is>
          <t>Plaque de frottement, dessous</t>
        </is>
      </c>
      <c r="C11" s="6" t="n">
        <v>1</v>
      </c>
      <c r="D11" s="6" t="inlineStr">
        <is>
          <t>CuSn12-C</t>
        </is>
      </c>
      <c r="E11" s="6" t="inlineStr">
        <is>
          <t>plat 40 x 6</t>
        </is>
      </c>
      <c r="F11" s="7" t="n">
        <v>0.174</v>
      </c>
      <c r="G11" s="7">
        <f>C11*F11</f>
        <v/>
      </c>
      <c r="H11" s="6" t="inlineStr">
        <is>
          <t>comme la haute, mais 38 x 104 x 5 ; entre ses deux rebords sous le coin, points de silicone HT au montage ; pate graphite haute temperature sur la face qui glisse sur la pente du coulisseau</t>
        </is>
      </c>
    </row>
    <row r="12">
      <c r="A12" s="6" t="inlineStr">
        <is>
          <t>07</t>
        </is>
      </c>
      <c r="B12" s="6" t="inlineStr">
        <is>
          <t>Platine de butee de la vis</t>
        </is>
      </c>
      <c r="C12" s="6" t="n">
        <v>2</v>
      </c>
      <c r="D12" s="6" t="inlineStr">
        <is>
          <t>42CrMo4 +A</t>
        </is>
      </c>
      <c r="E12" s="6" t="inlineStr">
        <is>
          <t>tole 8 mm, cert. 3.1, Re &gt;= 430</t>
        </is>
      </c>
      <c r="F12" s="7" t="n">
        <v>0.451</v>
      </c>
      <c r="G12" s="7">
        <f>C12*F12</f>
        <v/>
      </c>
      <c r="H12" s="6" t="inlineStr">
        <is>
          <t>meme tole 42CrMo4 que les flancs (imbriquees dans leurs chutes), empilees et serrees par les deux vis H M10 x 200 de la chape</t>
        </is>
      </c>
    </row>
    <row r="13">
      <c r="A13" s="6" t="inlineStr">
        <is>
          <t>07b</t>
        </is>
      </c>
      <c r="B13" s="6" t="inlineStr">
        <is>
          <t>Entretoise de butee</t>
        </is>
      </c>
      <c r="C13" s="6" t="n">
        <v>2</v>
      </c>
      <c r="D13" s="6" t="inlineStr">
        <is>
          <t>E235+C EN 10305-1</t>
        </is>
      </c>
      <c r="E13" s="6" t="inlineStr">
        <is>
          <t>tube de precision 20 x 2</t>
        </is>
      </c>
      <c r="F13" s="7" t="n">
        <v>0.063</v>
      </c>
      <c r="G13" s="7">
        <f>C13*F13</f>
        <v/>
      </c>
      <c r="H13" s="6" t="inlineStr">
        <is>
          <t>coupee a 71,5 +/-0,2, faces dressees ; en compression pure : c est elle qui porte l effort de commande</t>
        </is>
      </c>
    </row>
    <row r="14">
      <c r="A14" s="6" t="inlineStr">
        <is>
          <t>04a</t>
        </is>
      </c>
      <c r="B14" s="6" t="inlineStr">
        <is>
          <t>Patin d'appui rainure</t>
        </is>
      </c>
      <c r="C14" s="6" t="n">
        <v>4</v>
      </c>
      <c r="D14" s="6" t="inlineStr">
        <is>
          <t>S355JR</t>
        </is>
      </c>
      <c r="E14" s="6" t="inlineStr">
        <is>
          <t>tole 10 mm</t>
        </is>
      </c>
      <c r="F14" s="7" t="n">
        <v>0.129</v>
      </c>
      <c r="G14" s="7">
        <f>C14*F14</f>
        <v/>
      </c>
      <c r="H14" s="6" t="inlineStr">
        <is>
          <t>decoupe laser PUIS rainure 9,5 x 1,5 fraisee sur toute la longueur de la face d appui (0,75 de jeu par cote sur la tole reelle du flanc) ; colle en place, cadre monte, sous 0,5 kN de precharge ; un jeu par eprouvette</t>
        </is>
      </c>
    </row>
    <row r="15">
      <c r="A15" s="6" t="inlineStr">
        <is>
          <t>04b</t>
        </is>
      </c>
      <c r="B15" s="6" t="inlineStr">
        <is>
          <t>Patin de charge</t>
        </is>
      </c>
      <c r="C15" s="6" t="n">
        <v>1</v>
      </c>
      <c r="D15" s="6" t="inlineStr">
        <is>
          <t>S355JR</t>
        </is>
      </c>
      <c r="E15" s="6" t="inlineStr">
        <is>
          <t>tole 10 mm</t>
        </is>
      </c>
      <c r="F15" s="7" t="n">
        <v>0.446</v>
      </c>
      <c r="G15" s="7">
        <f>C15*F15</f>
        <v/>
      </c>
      <c r="H15" s="6" t="inlineStr">
        <is>
          <t>sans trou, 58 de long selon x pour laisser passer les tetes des vis du poussoir ; dessus BOMBE R1000 fraise (cylindre d axe transversal, 10 au milieu, 9,58 aux bords) : le poussoir y porte sur une ligne ; dessous plat, colle centre au trace en meme temps que les patins d appui ; un par eprouvette</t>
        </is>
      </c>
    </row>
    <row r="16">
      <c r="A16" s="6" t="inlineStr">
        <is>
          <t>06b</t>
        </is>
      </c>
      <c r="B16" s="6" t="inlineStr">
        <is>
          <t>Entretoise tubulaire</t>
        </is>
      </c>
      <c r="C16" s="6" t="n">
        <v>9</v>
      </c>
      <c r="D16" s="6" t="inlineStr">
        <is>
          <t>E235+C EN 10305-1</t>
        </is>
      </c>
      <c r="E16" s="6" t="inlineStr">
        <is>
          <t>tube de precision 20 x 2</t>
        </is>
      </c>
      <c r="F16" s="7" t="n">
        <v>0.053</v>
      </c>
      <c r="G16" s="7">
        <f>C16*F16</f>
        <v/>
      </c>
      <c r="H16" s="6" t="inlineStr">
        <is>
          <t>coupee a 60 +0,1/0, faces dressees // 0,05 : c est elle qui fixe l ecart des flancs ; 7 serrees par vis TH M10 x 100 + ecrou ISO 7042 classe 8, autofreine tout metal, les 2 de la chape par les vis H M10 x 200</t>
        </is>
      </c>
    </row>
    <row r="17">
      <c r="A17" s="6" t="inlineStr">
        <is>
          <t>05</t>
        </is>
      </c>
      <c r="B17" s="6" t="inlineStr">
        <is>
          <t>Pied a mi-bois</t>
        </is>
      </c>
      <c r="C17" s="6" t="n">
        <v>4</v>
      </c>
      <c r="D17" s="6" t="inlineStr">
        <is>
          <t>S355JR</t>
        </is>
      </c>
      <c r="E17" s="6" t="inlineStr">
        <is>
          <t>tole 8 mm, cert. 2.2</t>
        </is>
      </c>
      <c r="F17" s="7" t="n">
        <v>0.87</v>
      </c>
      <c r="G17" s="7">
        <f>C17*F17</f>
        <v/>
      </c>
      <c r="H17" s="6" t="inlineStr">
        <is>
          <t>ajoure, bossages aux deux bouts qui posent sur les crochets d etuve, fente de calage 8,4 x 7 a 5 du bout ; encoches et nodes taillees sur la tole REELLE du flanc (42CrMo4), fente sur celle du crochet (S355) : mesurer les deux toles livrees, regler EP_TOLE_REELLE_42 (42CrMo4) et EP_TOLE_REELLE_S355 (S355JR) et regenerer les DXF avant decoupe ; meme plaque pour les deux positions : 2 dans le chant bas (couche), 2 aux coins de l about a 38 degres (debout), aretes de pose a 447</t>
        </is>
      </c>
    </row>
    <row r="18">
      <c r="A18" s="6" t="inlineStr">
        <is>
          <t>05c</t>
        </is>
      </c>
      <c r="B18" s="6" t="inlineStr">
        <is>
          <t>Crochet d etuve</t>
        </is>
      </c>
      <c r="C18" s="6" t="n">
        <v>4</v>
      </c>
      <c r="D18" s="6" t="inlineStr">
        <is>
          <t>S355JR</t>
        </is>
      </c>
      <c r="E18" s="6" t="inlineStr">
        <is>
          <t>tole 8 mm, cert. 2.2</t>
        </is>
      </c>
      <c r="F18" s="7" t="n">
        <v>0.173</v>
      </c>
      <c r="G18" s="7">
        <f>C18*F18</f>
        <v/>
      </c>
      <c r="H18" s="6" t="inlineStr">
        <is>
          <t>cadre DEBOUT : pend par 4 langues a bec dans la colonne de trous carres de 10 (paroi 1), dans le plan des flancs ; l arete du pied en V pose sur son appui, calee par la dent dans la fente du pied. Le fond de l etuve ne porte rien ; dent a 47,2 de la paroi pour une etuve de 538</t>
        </is>
      </c>
    </row>
    <row r="19">
      <c r="A19" s="8" t="n"/>
      <c r="B19" s="8" t="n"/>
      <c r="C19" s="8" t="n"/>
      <c r="D19" s="8" t="n"/>
      <c r="E19" s="8" t="n"/>
      <c r="F19" s="9" t="inlineStr">
        <is>
          <t>total</t>
        </is>
      </c>
      <c r="G19" s="10">
        <f>SUM(G4:G18)</f>
        <v/>
      </c>
      <c r="H19"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
  <sheetViews>
    <sheetView workbookViewId="0">
      <pane ySplit="3" topLeftCell="A4" activePane="bottomLeft" state="frozen"/>
      <selection pane="bottomLeft" activeCell="A1" sqref="A1"/>
    </sheetView>
  </sheetViews>
  <sheetFormatPr baseColWidth="8" defaultRowHeight="15"/>
  <cols>
    <col width="70" customWidth="1" min="1" max="1"/>
    <col width="33" customWidth="1" min="2" max="2"/>
    <col width="8" customWidth="1" min="3" max="3"/>
    <col width="61" customWidth="1" min="4" max="4"/>
    <col width="17" customWidth="1" min="5" max="5"/>
    <col width="10" customWidth="1" min="6" max="6"/>
    <col width="70" customWidth="1" min="7" max="7"/>
  </cols>
  <sheetData>
    <row r="1">
      <c r="A1" s="1" t="inlineStr">
        <is>
          <t>Pieces du commerce</t>
        </is>
      </c>
    </row>
    <row r="2"/>
    <row r="3">
      <c r="A3" s="5" t="inlineStr">
        <is>
          <t>rep</t>
        </is>
      </c>
      <c r="B3" s="5" t="inlineStr">
        <is>
          <t>designation</t>
        </is>
      </c>
      <c r="C3" s="5" t="inlineStr">
        <is>
          <t>qte</t>
        </is>
      </c>
      <c r="D3" s="5" t="inlineStr">
        <is>
          <t>reference</t>
        </is>
      </c>
      <c r="E3" s="5" t="inlineStr">
        <is>
          <t>matiere</t>
        </is>
      </c>
      <c r="F3" s="5" t="inlineStr">
        <is>
          <t>masse u.</t>
        </is>
      </c>
      <c r="G3" s="5" t="inlineStr">
        <is>
          <t>remarque</t>
        </is>
      </c>
    </row>
    <row r="4">
      <c r="A4" s="6" t="inlineStr">
        <is>
          <t>02f</t>
        </is>
      </c>
      <c r="B4" s="6" t="inlineStr">
        <is>
          <t>Vis de guidage CHC M8 x 12</t>
        </is>
      </c>
      <c r="C4" s="6" t="n">
        <v>4</v>
      </c>
      <c r="D4" s="6" t="inlineStr">
        <is>
          <t>CHC M8 x 12 ISO 4762 8.8, tete lisse (non moletee)</t>
        </is>
      </c>
      <c r="E4" s="6" t="inlineStr">
        <is>
          <t>8.8</t>
        </is>
      </c>
      <c r="F4" s="7" t="n">
        <v>0.013</v>
      </c>
      <c r="G4" s="6" t="inlineStr">
        <is>
          <t>piece du commerce ; 12 sous tete, toute la tige dans le taraudage de 16 ; c est la TETE (13 x 8) qui guide : cylindre sur plan, contact lineique</t>
        </is>
      </c>
    </row>
    <row r="5">
      <c r="A5" s="6" t="inlineStr">
        <is>
          <t>02d</t>
        </is>
      </c>
      <c r="B5" s="6" t="inlineStr">
        <is>
          <t>Vis de commande H M16 x 160</t>
        </is>
      </c>
      <c r="C5" s="6" t="n">
        <v>1</v>
      </c>
      <c r="D5" s="6" t="inlineStr">
        <is>
          <t>vis H M16 x 160 ISO 4017 8.8 brute, filetee jusqu a la tete</t>
        </is>
      </c>
      <c r="E5" s="6" t="inlineStr">
        <is>
          <t>8.8</t>
        </is>
      </c>
      <c r="F5" s="7" t="n">
        <v>0.353</v>
      </c>
      <c r="G5" s="6" t="inlineStr">
        <is>
          <t>piece du commerce, filetee jusqu a la tete, montee a la pate cuivre ; tete de 10 (douille de 24) sur la butee ; ecrous et butee figures : ils montrent l arret axial dans les deux sens</t>
        </is>
      </c>
    </row>
    <row r="6">
      <c r="A6" s="6" t="inlineStr">
        <is>
          <t>04c</t>
        </is>
      </c>
      <c r="B6" s="6" t="inlineStr">
        <is>
          <t>Plat de renfort colle</t>
        </is>
      </c>
      <c r="C6" s="6" t="n">
        <v>2</v>
      </c>
      <c r="D6" s="6" t="inlineStr">
        <is>
          <t>feuillard 20 x 2 S235, coupe a 840</t>
        </is>
      </c>
      <c r="E6" s="6" t="inlineStr">
        <is>
          <t>S235</t>
        </is>
      </c>
      <c r="F6" s="7" t="n">
        <v>0.26</v>
      </c>
      <c r="G6" s="6" t="inlineStr">
        <is>
          <t>piece du commerce, coupee a longueur, bavures retirees ; collee sur toute la longueur a y = +/- 34, poncer et degraisser les deux faces ; un jeu par eprouvette</t>
        </is>
      </c>
    </row>
    <row r="7">
      <c r="A7" s="6" t="inlineStr">
        <is>
          <t>02e</t>
        </is>
      </c>
      <c r="B7" s="6" t="inlineStr">
        <is>
          <t>Pile de 12 rondelles Belleville</t>
        </is>
      </c>
      <c r="C7" s="6" t="n">
        <v>1</v>
      </c>
      <c r="D7" s="6" t="inlineStr">
        <is>
          <t>12 rondelles EN 16983 A50</t>
        </is>
      </c>
      <c r="E7" s="6" t="inlineStr">
        <is>
          <t>51CrV4 (1.8159)</t>
        </is>
      </c>
      <c r="F7" s="7" t="n">
        <v>0.412</v>
      </c>
      <c r="G7" s="6" t="inlineStr">
        <is>
          <t>piece du commerce : 12 rondelles 50 x 25,4 x 3 (ex-DIN 2093, PAS en C60S) montees TETE-BECHE, grand diametre aux deux bouts ; 18,5 kN a plat, course 15,6 mm ; cales de rattrapage 1 et 2 mm (50 / 26) entre poussoir et pile si l empilement est court</t>
        </is>
      </c>
    </row>
    <row r="8"/>
    <row r="9">
      <c r="A9" s="2" t="inlineStr">
        <is>
          <t>Masse du cadre complet : 34.4 kg. Poutrelle beton : 22.2 kg. Masses du modele 3D (out/masses.json du 07/10/2026).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3" topLeftCell="A4" activePane="bottomLeft" state="frozen"/>
      <selection pane="bottomLeft" activeCell="A1" sqref="A1"/>
    </sheetView>
  </sheetViews>
  <sheetFormatPr baseColWidth="8" defaultRowHeight="15"/>
  <cols>
    <col width="40" customWidth="1" min="1" max="1"/>
    <col width="70" customWidth="1" min="2" max="2"/>
    <col width="8" customWidth="1" min="3" max="3"/>
    <col width="70" customWidth="1" min="4" max="4"/>
  </cols>
  <sheetData>
    <row r="1">
      <c r="A1" s="1" t="inlineStr">
        <is>
          <t>Visserie et petites pieces du commerce</t>
        </is>
      </c>
    </row>
    <row r="2"/>
    <row r="3">
      <c r="A3" s="5" t="inlineStr">
        <is>
          <t>rep</t>
        </is>
      </c>
      <c r="B3" s="5" t="inlineStr">
        <is>
          <t>designation</t>
        </is>
      </c>
      <c r="C3" s="5" t="inlineStr">
        <is>
          <t>qte</t>
        </is>
      </c>
      <c r="D3" s="5" t="inlineStr">
        <is>
          <t>remarque</t>
        </is>
      </c>
    </row>
    <row r="4">
      <c r="A4" s="6" t="inlineStr">
        <is>
          <t>V1</t>
        </is>
      </c>
      <c r="B4" s="6" t="inlineStr">
        <is>
          <t>Vis TH M10 x 100 ISO 4014 8.8 zinguee + ecrou ISO 7042 classe 8, autofreine tout metal + 2 rondelles ISO 7089 M10</t>
        </is>
      </c>
      <c r="C4" s="6" t="n">
        <v>7</v>
      </c>
      <c r="D4" s="6" t="inlineStr">
        <is>
          <t>entretoises de cadre : 4 de coin, 2 de bielle, 1 de sommet. Serrage 80 : l ecrou tombe sur le filet avec 6 de marge, la vis en depasse de 10 ; 25 N.m. Pas d ecrou a bague polyamide (ISO 7040, DIN 985) : elle ne freine plus a 150 C. Acier, pas inox : meme dilatation que les flancs, la precharge tient a chaud</t>
        </is>
      </c>
    </row>
    <row r="5">
      <c r="A5" s="6" t="inlineStr">
        <is>
          <t>V2</t>
        </is>
      </c>
      <c r="B5" s="6" t="inlineStr">
        <is>
          <t>Vis H M10 x 80 ISO 4017 8.8 zinguee (filetage total) + ecrou ISO 7042 classe 8, autofreine tout metal + 2 rondelles ISO 7089 M10</t>
        </is>
      </c>
      <c r="C5" s="6" t="n">
        <v>2</v>
      </c>
      <c r="D5" s="6" t="inlineStr">
        <is>
          <t>paquet de plaques de traverse, a y = +/- 17 : les deux vis tiennent les plaques alignees pour dresser le chant en paquet ; elles ne reprennent aucune charge. Serrage 52, la vis depasse de l ecrou de 18 ; 25 N.m. Tole mesuree au dela de 10,5 : prendre des M10 x 90 (verifie() le signale)</t>
        </is>
      </c>
    </row>
    <row r="6">
      <c r="A6" s="6" t="inlineStr">
        <is>
          <t>V3</t>
        </is>
      </c>
      <c r="B6" s="6" t="inlineStr">
        <is>
          <t>Vis H M6 x 35 ISO 4017 8.8 zinguee + rondelle ISO 7089 M6 + ecrou ISO 7042 M6 classe 8 tout metal</t>
        </is>
      </c>
      <c r="C6" s="6" t="n">
        <v>2</v>
      </c>
      <c r="D6" s="6" t="inlineStr">
        <is>
          <t>serrent les 3 plateaux du poussoir en un bloc, dans les trous de 6,6 a +/- 38 : TETE EN DESSOUS, rondelle et ecrou au dessus, a cote de la pile. Sous le plateau bas il n y a que les 10 du patin de charge jusqu a la poutrelle : une tete de 4 y tient (6 de garde), un ecrou non. Serrage modere, 8 N.m ; la vis depasse de l ecrou de 3,4 ; restent sur le poussoir</t>
        </is>
      </c>
    </row>
    <row r="7">
      <c r="A7" s="6" t="inlineStr">
        <is>
          <t>V4</t>
        </is>
      </c>
      <c r="B7" s="6" t="inlineStr">
        <is>
          <t>Cale de rattrapage D50 / D26, feuillard acier, ep. 1 et 2 mm</t>
        </is>
      </c>
      <c r="C7" s="6" t="n">
        <v>2</v>
      </c>
      <c r="D7" s="6" t="inlineStr">
        <is>
          <t>une de chaque, entre le poussoir et la pile, si l empilement mesure au montage est court : le coin doit toucher a moins de 5 mm de son repos</t>
        </is>
      </c>
    </row>
    <row r="8">
      <c r="A8" s="6" t="inlineStr">
        <is>
          <t>V5</t>
        </is>
      </c>
      <c r="B8" s="6" t="inlineStr">
        <is>
          <t>Rondelle trempee AS 1730 (17 x 30 x 1)</t>
        </is>
      </c>
      <c r="C8" s="6" t="n">
        <v>2</v>
      </c>
      <c r="D8" s="6" t="inlineStr">
        <is>
          <t>cote interieur des platines, sous les ecrous V7 : deux empilees font les 2 mm de rondelle trempee (une rondelle trempee 30 x 2 n existe pas en M16)</t>
        </is>
      </c>
    </row>
    <row r="9">
      <c r="A9" s="6" t="inlineStr">
        <is>
          <t>V6</t>
        </is>
      </c>
      <c r="B9" s="6" t="inlineStr">
        <is>
          <t>Butee a aiguilles AXK 1730 + 2 rondelles AS 1730</t>
        </is>
      </c>
      <c r="C9" s="6" t="n">
        <v>1</v>
      </c>
      <c r="D9" s="6" t="inlineStr">
        <is>
          <t>face EXTERIEURE des platines : c est elle qui encaisse les 5.5 kN de commande</t>
        </is>
      </c>
    </row>
    <row r="10">
      <c r="A10" s="6" t="inlineStr">
        <is>
          <t>V7</t>
        </is>
      </c>
      <c r="B10" s="6" t="inlineStr">
        <is>
          <t>Ecrou M16 HM ISO 4035</t>
        </is>
      </c>
      <c r="C10" s="6" t="n">
        <v>2</v>
      </c>
      <c r="D10" s="6" t="inlineStr">
        <is>
          <t>bloques l un sur l autre cote interieur des platines, sur les rondelles V5, avec 0,1 a 0,3 de jeu axial : ils ne retiennent la vis qu au desserrage, 329 N</t>
        </is>
      </c>
    </row>
    <row r="11">
      <c r="A11" s="6" t="inlineStr">
        <is>
          <t>V8</t>
        </is>
      </c>
      <c r="B11" s="6" t="inlineStr">
        <is>
          <t>Vis H M10 x 200 ISO 4014 8.8 zinguee (filetee sur 32) + 2 ecrous H M10 ISO 4032 classe 8 + 5 rondelles ISO 7089 M10</t>
        </is>
      </c>
      <c r="C11" s="6" t="n">
        <v>2</v>
      </c>
      <c r="D11" s="6" t="inlineStr">
        <is>
          <t>vis de chape : tete et 1 rondelle derriere le flanc oppose, flanc, entretoise de cadre, flanc, entretoise de butee, platines, 4 rondelles, ecrou serre puis contre-ecrou bloque contre lui. Serrage 173,5, filet a partir de 168 : le premier ecrou y tombe avec 5,5 de marge, la vis depasse du contre-ecrou de 9,7 ; 25 N.m sur le premier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70" customWidth="1" min="1" max="1"/>
    <col width="11" customWidth="1" min="2" max="2"/>
    <col width="12" customWidth="1" min="3" max="3"/>
    <col width="8" customWidth="1" min="4" max="4"/>
    <col width="48" customWidth="1" min="5" max="5"/>
  </cols>
  <sheetData>
    <row r="1">
      <c r="A1" s="1" t="inlineStr">
        <is>
          <t>Pieces planes a decouper</t>
        </is>
      </c>
    </row>
    <row r="2"/>
    <row r="3">
      <c r="A3" s="5" t="inlineStr">
        <is>
          <t>fichier</t>
        </is>
      </c>
      <c r="B3" s="5" t="inlineStr">
        <is>
          <t>epaisseur</t>
        </is>
      </c>
      <c r="C3" s="5" t="inlineStr">
        <is>
          <t>matiere</t>
        </is>
      </c>
      <c r="D3" s="5" t="inlineStr">
        <is>
          <t>nombre</t>
        </is>
      </c>
      <c r="E3" s="5" t="inlineStr">
        <is>
          <t>statut</t>
        </is>
      </c>
    </row>
    <row r="4">
      <c r="A4" s="6" t="inlineStr">
        <is>
          <t>flanc.dxf</t>
        </is>
      </c>
      <c r="B4" s="6" t="inlineStr">
        <is>
          <t>8 mm</t>
        </is>
      </c>
      <c r="C4" s="6" t="inlineStr">
        <is>
          <t>42CrMo4 +A</t>
        </is>
      </c>
      <c r="D4" s="6" t="inlineStr">
        <is>
          <t>2</t>
        </is>
      </c>
      <c r="E4" s="6" t="inlineStr">
        <is>
          <t>a decouper</t>
        </is>
      </c>
    </row>
    <row r="5">
      <c r="A5" s="6" t="inlineStr">
        <is>
          <t>traverse.dxf</t>
        </is>
      </c>
      <c r="B5" s="6" t="inlineStr">
        <is>
          <t>8 mm</t>
        </is>
      </c>
      <c r="C5" s="6" t="inlineStr">
        <is>
          <t>S355JR</t>
        </is>
      </c>
      <c r="D5" s="6" t="inlineStr">
        <is>
          <t>6</t>
        </is>
      </c>
      <c r="E5" s="6" t="inlineStr">
        <is>
          <t>a decouper ; DXF = brut, reprise apres decoupe</t>
        </is>
      </c>
    </row>
    <row r="6">
      <c r="A6" s="6" t="inlineStr">
        <is>
          <t>poussoir.dxf</t>
        </is>
      </c>
      <c r="B6" s="6" t="inlineStr">
        <is>
          <t>8 mm</t>
        </is>
      </c>
      <c r="C6" s="6" t="inlineStr">
        <is>
          <t>S355JR</t>
        </is>
      </c>
      <c r="D6" s="6" t="inlineStr">
        <is>
          <t>3</t>
        </is>
      </c>
      <c r="E6" s="6" t="inlineStr">
        <is>
          <t>a decouper</t>
        </is>
      </c>
    </row>
    <row r="7">
      <c r="A7" s="6" t="inlineStr">
        <is>
          <t>support.dxf</t>
        </is>
      </c>
      <c r="B7" s="6" t="inlineStr">
        <is>
          <t>8 mm</t>
        </is>
      </c>
      <c r="C7" s="6" t="inlineStr">
        <is>
          <t>42CrMo4 +A</t>
        </is>
      </c>
      <c r="D7" s="6" t="inlineStr">
        <is>
          <t>2</t>
        </is>
      </c>
      <c r="E7" s="6" t="inlineStr">
        <is>
          <t>a decouper</t>
        </is>
      </c>
    </row>
    <row r="8">
      <c r="A8" s="6" t="inlineStr">
        <is>
          <t>patin_appui.dxf</t>
        </is>
      </c>
      <c r="B8" s="6" t="inlineStr">
        <is>
          <t>10 mm</t>
        </is>
      </c>
      <c r="C8" s="6" t="inlineStr">
        <is>
          <t>S355JR</t>
        </is>
      </c>
      <c r="D8" s="6" t="inlineStr">
        <is>
          <t>4</t>
        </is>
      </c>
      <c r="E8" s="6" t="inlineStr">
        <is>
          <t>a decouper</t>
        </is>
      </c>
    </row>
    <row r="9">
      <c r="A9" s="6" t="inlineStr">
        <is>
          <t>patin_charge.dxf</t>
        </is>
      </c>
      <c r="B9" s="6" t="inlineStr">
        <is>
          <t>10 mm</t>
        </is>
      </c>
      <c r="C9" s="6" t="inlineStr">
        <is>
          <t>S355JR</t>
        </is>
      </c>
      <c r="D9" s="6" t="inlineStr">
        <is>
          <t>1</t>
        </is>
      </c>
      <c r="E9" s="6" t="inlineStr">
        <is>
          <t>a decouper</t>
        </is>
      </c>
    </row>
    <row r="10">
      <c r="A10" s="6" t="inlineStr">
        <is>
          <t>pied.dxf</t>
        </is>
      </c>
      <c r="B10" s="6" t="inlineStr">
        <is>
          <t>8 mm</t>
        </is>
      </c>
      <c r="C10" s="6" t="inlineStr">
        <is>
          <t>S355JR</t>
        </is>
      </c>
      <c r="D10" s="6" t="inlineStr">
        <is>
          <t>4</t>
        </is>
      </c>
      <c r="E10" s="6" t="inlineStr">
        <is>
          <t>a decouper</t>
        </is>
      </c>
    </row>
    <row r="11">
      <c r="A11" s="6" t="inlineStr">
        <is>
          <t>crochet.dxf</t>
        </is>
      </c>
      <c r="B11" s="6" t="inlineStr">
        <is>
          <t>8 mm</t>
        </is>
      </c>
      <c r="C11" s="6" t="inlineStr">
        <is>
          <t>S355JR</t>
        </is>
      </c>
      <c r="D11" s="6" t="inlineStr">
        <is>
          <t>4</t>
        </is>
      </c>
      <c r="E11" s="6" t="inlineStr">
        <is>
          <t>a decouper</t>
        </is>
      </c>
    </row>
    <row r="12">
      <c r="A12" s="6" t="inlineStr">
        <is>
          <t>tole_8mm_42crmo4.dxf</t>
        </is>
      </c>
      <c r="B12" s="6" t="inlineStr">
        <is>
          <t>8 mm</t>
        </is>
      </c>
      <c r="C12" s="6" t="inlineStr">
        <is>
          <t>42CrMo4 +A</t>
        </is>
      </c>
      <c r="D12" s="6" t="inlineStr">
        <is>
          <t>4</t>
        </is>
      </c>
      <c r="E12" s="6" t="inlineStr">
        <is>
          <t>groupe : flanc, support</t>
        </is>
      </c>
    </row>
    <row r="13">
      <c r="A13" s="6" t="inlineStr">
        <is>
          <t>tole_8mm_s355.dxf</t>
        </is>
      </c>
      <c r="B13" s="6" t="inlineStr">
        <is>
          <t>8 mm</t>
        </is>
      </c>
      <c r="C13" s="6" t="inlineStr">
        <is>
          <t>S355JR</t>
        </is>
      </c>
      <c r="D13" s="6" t="inlineStr">
        <is>
          <t>17</t>
        </is>
      </c>
      <c r="E13" s="6" t="inlineStr">
        <is>
          <t>groupe : traverse, poussoir, pied, crochet</t>
        </is>
      </c>
    </row>
    <row r="14">
      <c r="A14" s="6" t="inlineStr">
        <is>
          <t>tole_10mm_s355.dxf</t>
        </is>
      </c>
      <c r="B14" s="6" t="inlineStr">
        <is>
          <t>10 mm</t>
        </is>
      </c>
      <c r="C14" s="6" t="inlineStr">
        <is>
          <t>S355JR</t>
        </is>
      </c>
      <c r="D14" s="6" t="inlineStr">
        <is>
          <t>5</t>
        </is>
      </c>
      <c r="E14" s="6" t="inlineStr">
        <is>
          <t>groupe : patin_appui, patin_charge</t>
        </is>
      </c>
    </row>
    <row r="15"/>
    <row r="16">
      <c r="A16" s="2" t="inlineStr">
        <is>
          <t>Fichiers DXF dans out/dxf/, cotes en millimetres, contours fermes, indice B du 05/10/2026 ; la liste tenue a jour par export_dxf.py est out/dxf/LISTE.txt.</t>
        </is>
      </c>
    </row>
    <row r="17">
      <c r="A17" s="2" t="inlineStr">
        <is>
          <t>- Calques : DECOUPE = contour a couper ; GRAVURE = marquage laser, sans traverser, sur la face superieure de decoupe (graduation de charge du flanc, d un seul cote de la lumiere : face gravee montee a l exterieur) ; TEXTE = identification, ni coupe ni marquage.</t>
        </is>
      </c>
    </row>
    <row r="18">
      <c r="A18" s="2" t="inlineStr">
        <is>
          <t>- Toles reelles : mesurer les deux toles livrees, regler EP_TOLE_REELLE_42 (42CrMo4) et EP_TOLE_REELLE_S355 (S355JR) et regenerer les DXF avant decoupe. Le texte de chaque DXF cite l epaisseur pour laquelle ses fentes et encoches ont ete taillees.</t>
        </is>
      </c>
    </row>
    <row r="19">
      <c r="A19" s="2" t="inlineStr">
        <is>
          <t>- Brut de decoupe : le DXF de la traverse porte 1 mm de surepaisseur sur le chant du bas (fraise ensuite en paquet).</t>
        </is>
      </c>
    </row>
    <row r="20">
      <c r="A20" s="2" t="inlineStr">
        <is>
          <t>- Groupes : tole_&lt;ep&gt;mm_&lt;nuance&gt;.dxf reprend tous les exemplaires d une epaisseur et d une nuance, ranges en etageres de 3000 mm de large au plus. C est un controle de quantites, pas une imbrication : le decoupeur imbrique sur son format. Les pieces en attente sont dans un groupe a part, suffixe _EN_ATTENTE.</t>
        </is>
      </c>
    </row>
    <row r="21">
      <c r="A21" s="2" t="inlineStr">
        <is>
          <t>- Les pieces du commerce n ont pas de DXF.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2"/>
  <sheetViews>
    <sheetView workbookViewId="0">
      <pane ySplit="3" topLeftCell="A4" activePane="bottomLeft" state="frozen"/>
      <selection pane="bottomLeft" activeCell="A1" sqref="A1"/>
    </sheetView>
  </sheetViews>
  <sheetFormatPr baseColWidth="8" defaultRowHeight="15"/>
  <cols>
    <col width="62" customWidth="1" min="1" max="1"/>
    <col width="70" customWidth="1" min="2" max="2"/>
  </cols>
  <sheetData>
    <row r="1">
      <c r="A1" s="1" t="inlineStr">
        <is>
          <t>Reglages et constantes d'essai</t>
        </is>
      </c>
    </row>
    <row r="2"/>
    <row r="3">
      <c r="A3" s="5" t="inlineStr">
        <is>
          <t>grandeur</t>
        </is>
      </c>
      <c r="B3" s="5" t="inlineStr">
        <is>
          <t>valeur</t>
        </is>
      </c>
    </row>
    <row r="4">
      <c r="A4" s="6" t="inlineStr">
        <is>
          <t>Portee entre bossages</t>
        </is>
      </c>
      <c r="B4" s="6" t="inlineStr">
        <is>
          <t>750 mm</t>
        </is>
      </c>
    </row>
    <row r="5">
      <c r="A5" s="6" t="inlineStr">
        <is>
          <t>Bossages</t>
        </is>
      </c>
      <c r="B5" s="6" t="inlineStr">
        <is>
          <t>R150, balancier, 339 MPa de Hertz sur 6,4 mm portants</t>
        </is>
      </c>
    </row>
    <row r="6">
      <c r="A6" s="6" t="inlineStr">
        <is>
          <t>Pression de Hertz aux appuis</t>
        </is>
      </c>
      <c r="B6" s="6" t="inlineStr">
        <is>
          <t>339 MPa ; limite 480 MPa, 1,6 Re a chaud du patin S355JR, le plus mou des deux corps ; coefficient 1.42</t>
        </is>
      </c>
    </row>
    <row r="7">
      <c r="A7" s="6" t="inlineStr">
        <is>
          <t>Pile Belleville</t>
        </is>
      </c>
      <c r="B7" s="6" t="inlineStr">
        <is>
          <t>12 x EN 16983 A50 en 51CrV4 (1.8159), hauteur libre 51.6 mm</t>
        </is>
      </c>
    </row>
    <row r="8">
      <c r="A8" s="6" t="inlineStr">
        <is>
          <t>Effort de la pile a plat</t>
        </is>
      </c>
      <c r="B8" s="6" t="inlineStr">
        <is>
          <t>18.5 kN</t>
        </is>
      </c>
    </row>
    <row r="9">
      <c r="A9" s="6" t="inlineStr">
        <is>
          <t>Course totale de la pile</t>
        </is>
      </c>
      <c r="B9" s="6" t="inlineStr">
        <is>
          <t>15.6 mm</t>
        </is>
      </c>
    </row>
    <row r="10">
      <c r="A10" s="6" t="inlineStr">
        <is>
          <t>Ecrasement a 12 kN</t>
        </is>
      </c>
      <c r="B10" s="6" t="inlineStr">
        <is>
          <t>9.65 mm, soit 1243 N/mm en secant</t>
        </is>
      </c>
    </row>
    <row r="11">
      <c r="A11" s="6" t="inlineStr">
        <is>
          <t>Butee de course (bas de lumiere)</t>
        </is>
      </c>
      <c r="B11" s="6" t="inlineStr">
        <is>
          <t>11.8 mm, plafonne l'effort a 14.4 kN</t>
        </is>
      </c>
    </row>
    <row r="12">
      <c r="A12" s="6" t="inlineStr">
        <is>
          <t>Rattrapage d empilement</t>
        </is>
      </c>
      <c r="B12" s="6" t="inlineStr">
        <is>
          <t>2.4 mm en reserve au dela des 12 kN ; cales V4 de 1 et 2 mm</t>
        </is>
      </c>
    </row>
    <row r="13">
      <c r="A13" s="6" t="inlineStr">
        <is>
          <t>Commande</t>
        </is>
      </c>
      <c r="B13" s="6" t="inlineStr">
        <is>
          <t>coin acier a 12 degres, vis M16 normale aux flancs</t>
        </is>
      </c>
    </row>
    <row r="14">
      <c r="A14" s="6" t="inlineStr">
        <is>
          <t>Course par tour</t>
        </is>
      </c>
      <c r="B14" s="6" t="inlineStr">
        <is>
          <t>0.425 mm de coulisseau, environ 549 N</t>
        </is>
      </c>
    </row>
    <row r="15">
      <c r="A15" s="6" t="inlineStr">
        <is>
          <t>Precharge de collage, 0,5 kN</t>
        </is>
      </c>
      <c r="B15" s="6" t="inlineStr">
        <is>
          <t>0.84 tour de vis apres le contact (0.36 mm de pile, 1.7 mm de coin)</t>
        </is>
      </c>
    </row>
    <row r="16">
      <c r="A16" s="6" t="inlineStr">
        <is>
          <t>Couple sur la vis a 12 kN</t>
        </is>
      </c>
      <c r="B16" s="6" t="inlineStr">
        <is>
          <t>9.4 N.m</t>
        </is>
      </c>
    </row>
    <row r="17">
      <c r="A17" s="6" t="inlineStr">
        <is>
          <t>Couple de serrage des vis M10 (V1, V8)</t>
        </is>
      </c>
      <c r="B17" s="6" t="inlineStr">
        <is>
          <t>25 N.m</t>
        </is>
      </c>
    </row>
    <row r="18">
      <c r="A18" s="6" t="inlineStr">
        <is>
          <t>Irreversibilite du filet</t>
        </is>
      </c>
      <c r="B18" s="6" t="inlineStr">
        <is>
          <t>helice 2.48 deg / frottement 5.28 deg a mu 0.08 (acier sur acier, pate cuivre), marge x2.13</t>
        </is>
      </c>
    </row>
    <row r="19">
      <c r="A19" s="6" t="inlineStr">
        <is>
          <t>Coin</t>
        </is>
      </c>
      <c r="B19" s="6" t="inlineStr">
        <is>
          <t>autobloquant seulement si mu &gt; 0.106 ; desserrage 329 N a mu 0.12</t>
        </is>
      </c>
    </row>
    <row r="20">
      <c r="A20" s="6" t="inlineStr">
        <is>
          <t>Flancs du filet, taraude dans l acier</t>
        </is>
      </c>
      <c r="B20" s="6" t="inlineStr">
        <is>
          <t>9.2 MPa pour 12 admis, 80 mm filetes, engagement utile 24 mm</t>
        </is>
      </c>
    </row>
    <row r="21">
      <c r="A21" s="6" t="inlineStr">
        <is>
          <t>Plaques de frottement</t>
        </is>
      </c>
      <c r="B21" s="6" t="inlineStr">
        <is>
          <t>usinees en CuSn12-C, 38 x 102 (dessus) et 38 x 104 (dessous) x 5 ; pate graphite haute temperature ; 7.6 MPa au plus pour 25 admis</t>
        </is>
      </c>
    </row>
    <row r="22">
      <c r="A22" s="6" t="inlineStr">
        <is>
          <t>Rebords des plaquettes</t>
        </is>
      </c>
      <c r="B22" s="6" t="inlineStr">
        <is>
          <t>5.25 (dessus) et 5.41 (dessous) x 3, 11.8 MPa de flexion, garde 2 sous le bronze</t>
        </is>
      </c>
    </row>
    <row r="23">
      <c r="A23" s="6" t="inlineStr">
        <is>
          <t>Portee de la plaquette haute</t>
        </is>
      </c>
      <c r="B23" s="6" t="inlineStr">
        <is>
          <t>30.0 x 52.8 mm (sur 60) en fin de course, 7.6 MPa</t>
        </is>
      </c>
    </row>
    <row r="24">
      <c r="A24" s="6" t="inlineStr">
        <is>
          <t>Portee de la plaquette basse</t>
        </is>
      </c>
      <c r="B24" s="6" t="inlineStr">
        <is>
          <t>38.0 x 50.6 mm (sur 58) en fin de course, 6.2 MPa</t>
        </is>
      </c>
    </row>
    <row r="25">
      <c r="A25" s="6" t="inlineStr">
        <is>
          <t>Arete cassee des pieces de tole</t>
        </is>
      </c>
      <c r="B25" s="6" t="inlineStr">
        <is>
          <t>0.8 x 45 degres sur les deux faces</t>
        </is>
      </c>
    </row>
    <row r="26">
      <c r="A26" s="6" t="inlineStr">
        <is>
          <t>Effort estime a la fissuration (beton a 4 MPa)</t>
        </is>
      </c>
      <c r="B26" s="6" t="inlineStr">
        <is>
          <t>5.1 kN</t>
        </is>
      </c>
    </row>
    <row r="27">
      <c r="A27" s="6" t="inlineStr">
        <is>
          <t>Fleche a la fissuration</t>
        </is>
      </c>
      <c r="B27" s="6" t="inlineStr">
        <is>
          <t>0.12 mm</t>
        </is>
      </c>
    </row>
    <row r="28">
      <c r="A28" s="6" t="inlineStr">
        <is>
          <t>Jauge fibre sur la membrure haute</t>
        </is>
      </c>
      <c r="B28" s="6" t="inlineStr">
        <is>
          <t>18.8 microdef/kN</t>
        </is>
      </c>
    </row>
    <row r="29">
      <c r="A29" s="6" t="inlineStr">
        <is>
          <t>Calcul EF du flanc a 12 kN</t>
        </is>
      </c>
      <c r="B29" s="6" t="inlineStr">
        <is>
          <t>von Mises 213 MPa, coefficient 2.02 a froid, fleche 0.335 mm</t>
        </is>
      </c>
    </row>
    <row r="30">
      <c r="A30" s="6" t="inlineStr">
        <is>
          <t>Coefficient a 150 C</t>
        </is>
      </c>
      <c r="B30" s="6" t="inlineStr">
        <is>
          <t>1.83 en 42CrMo4 +A de 8 mm (Re 390 a chaud, pour 430 a 20 C EXIGES au certificat)</t>
        </is>
      </c>
    </row>
    <row r="31">
      <c r="A31" s="6" t="inlineStr">
        <is>
          <t>Flambement hors plan des flancs</t>
        </is>
      </c>
      <c r="B31" s="6" t="inlineStr">
        <is>
          <t>facteur critique 38.2 couche, 38.3 debout (les deux flancs penchent ensemble, tenus par la flexion des 9 entretoises tubulaires, bouts serres)</t>
        </is>
      </c>
    </row>
    <row r="32">
      <c r="A32" s="6" t="inlineStr">
        <is>
          <t>Flambement, flancs en sens contraire</t>
        </is>
      </c>
      <c r="B32" s="6" t="inlineStr">
        <is>
          <t>au moins 31.9 (calcul du 18/09/2026, avant les entretoises de chape et de sommet)</t>
        </is>
      </c>
    </row>
    <row r="33"/>
    <row r="34">
      <c r="A34" s="5" t="inlineStr">
        <is>
          <t>charge</t>
        </is>
      </c>
      <c r="B34" s="5" t="inlineStr">
        <is>
          <t>descente du coulisseau</t>
        </is>
      </c>
    </row>
    <row r="35">
      <c r="A35" s="6" t="inlineStr">
        <is>
          <t>2 kN</t>
        </is>
      </c>
      <c r="B35" s="6" t="inlineStr">
        <is>
          <t>1.45 mm</t>
        </is>
      </c>
    </row>
    <row r="36">
      <c r="A36" s="6" t="inlineStr">
        <is>
          <t>4 kN</t>
        </is>
      </c>
      <c r="B36" s="6" t="inlineStr">
        <is>
          <t>2.97 mm</t>
        </is>
      </c>
    </row>
    <row r="37">
      <c r="A37" s="6" t="inlineStr">
        <is>
          <t>6 kN</t>
        </is>
      </c>
      <c r="B37" s="6" t="inlineStr">
        <is>
          <t>4.55 mm</t>
        </is>
      </c>
    </row>
    <row r="38">
      <c r="A38" s="6" t="inlineStr">
        <is>
          <t>8 kN</t>
        </is>
      </c>
      <c r="B38" s="6" t="inlineStr">
        <is>
          <t>6.19 mm</t>
        </is>
      </c>
    </row>
    <row r="39">
      <c r="A39" s="6" t="inlineStr">
        <is>
          <t>10 kN</t>
        </is>
      </c>
      <c r="B39" s="6" t="inlineStr">
        <is>
          <t>7.89 mm</t>
        </is>
      </c>
    </row>
    <row r="40">
      <c r="A40" s="6" t="inlineStr">
        <is>
          <t>12 kN</t>
        </is>
      </c>
      <c r="B40" s="6" t="inlineStr">
        <is>
          <t>9.65 mm</t>
        </is>
      </c>
    </row>
    <row r="41"/>
    <row r="42">
      <c r="A42" s="2" t="inlineStr">
        <is>
          <t>Graduation de charge gravee sur le flanc, loi non lineaire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6" customWidth="1" min="1" max="1"/>
    <col width="120" customWidth="1" min="2" max="2"/>
  </cols>
  <sheetData>
    <row r="1">
      <c r="A1" s="1" t="inlineStr">
        <is>
          <t>Ordre de montage</t>
        </is>
      </c>
    </row>
    <row r="3">
      <c r="B3" s="11" t="inlineStr">
        <is>
          <t>Le cadre se monte A PLAT : les entretoises, la traverse et la tete de charge doivent etre en place avant de presenter le second flanc. Les numeros V renvoient a la visserie.</t>
        </is>
      </c>
    </row>
    <row r="4">
      <c r="A4" s="4" t="n">
        <v>1</v>
      </c>
      <c r="B4" s="3" t="inlineStr">
        <is>
          <t>Eprouvette, a l avance. Coller les deux plats 20 x 2 sous la poutrelle, a y = +/- 34 (axe des flancs), sur toute la longueur ; poncer P80 et degraisser les deux faces ; polymeriser.</t>
        </is>
      </c>
    </row>
    <row r="5">
      <c r="A5" s="4" t="n">
        <v>2</v>
      </c>
      <c r="B5" s="3" t="inlineStr">
        <is>
          <t>Coin, a l avance. Degraisser les deux sieges ; poser chaque plaque de frottement ENTRE SES DEUX REBORDS (la plus longue, 104, dessous), quelques points de silicone haute temperature sur le siege degraisse -- PAS d epoxy, bronze et acier ne se dilatent pas pareil ; laisser prendre. PUIS seulement, pate graphite haute temperature sur les faces de glissement, rien sur les sieges : le silicone ne prend pas sur une pate.</t>
        </is>
      </c>
    </row>
    <row r="6">
      <c r="A6" s="4" t="n">
        <v>3</v>
      </c>
      <c r="B6" s="3" t="inlineStr">
        <is>
          <t>Poussoir, a l avance. Empiler les 3 plateaux, alesages alignes sur un rond de 25 ; passer les deux vis V3 PAR DESSOUS (tete sous le plateau bas), rondelle et ecrou au dessus, serrer a 8 N.m. Le poussoir est desormais un bloc ; il sert a toutes les eprouvettes.</t>
        </is>
      </c>
    </row>
    <row r="7">
      <c r="A7" s="4" t="n">
        <v>4</v>
      </c>
      <c r="B7" s="3" t="inlineStr">
        <is>
          <t>Sous-ensemble de chape, sur l etabli. Sur la vis H M16 x 160 (02d), enfiler sous la tete une rondelle AS, la butee AXK 1730 et la seconde AS (V6), les deux platines, les deux rondelles trempees (V5), puis visser les deux ecrous HM (V7) : 0,1 a 0,3 mm de jeu axial, contre-bloquer. Pate cuivre sur le filet de la vis.</t>
        </is>
      </c>
    </row>
    <row r="8">
      <c r="A8" s="4" t="n">
        <v>5</v>
      </c>
      <c r="B8" s="3" t="inlineStr">
        <is>
          <t>Empilement. Mesurer la poutrelle avec ses plats, les patins d appui sous la rainure, le patin de charge, le poussoir et la pile libre. Du sommet des bossages au dessous du coulisseau, le nominal fait 203,1 (8,5 + 2 + 107 + 10 + 24 + 51,6). S il manque plus de 1 mm, prevoir entre poussoir et pile la cale de 1, de 2 ou les deux (V4) : au dela des 12 kN le coin ne garde que 2,4 mm de reserve en hauteur.</t>
        </is>
      </c>
    </row>
    <row r="9">
      <c r="A9" s="4" t="n">
        <v>6</v>
      </c>
      <c r="B9" s="3" t="inlineStr">
        <is>
          <t>Premier flanc. Poser a plat, sur cales de 20, le flanc OPPOSE a la chape, face gravee DESSOUS : la graduation doit finir a l exterieur. Passer par dessous, rondelle sous tete, les 7 vis V1 (4 de coin, 2 de bielle, 1 de sommet) et les 2 vis V8 (chape, x = +/- 52). Enfiler une entretoise de 60 sur chacune des 9 vis.</t>
        </is>
      </c>
    </row>
    <row r="10">
      <c r="A10" s="4" t="n">
        <v>7</v>
      </c>
      <c r="B10" s="3" t="inlineStr">
        <is>
          <t>Traverse. Engager dans la mortaise le paquet des 6 plaques, serre par les deux vis V2 (rondelle sous tete et sous ecrou ISO 7042, 25 N.m) ; chants dresses du cote du coin.</t>
        </is>
      </c>
    </row>
    <row r="11">
      <c r="A11" s="4" t="n">
        <v>8</v>
      </c>
      <c r="B11" s="3" t="inlineStr">
        <is>
          <t>Poutrelle. La coucher dans la fenetre du flanc, plats vers les bossages, SANS ses patins d appui, sur cales de 6,5 sous sa face laterale (elle descend de 13,5 sous le flanc).</t>
        </is>
      </c>
    </row>
    <row r="12">
      <c r="A12" s="4" t="n">
        <v>9</v>
      </c>
      <c r="B12" s="3" t="inlineStr">
        <is>
          <t>Tete de charge. Encoller le patin de charge sur sa face inferieure et le poser au milieu de la poutrelle, centre au trace, bombe vers la tete ; poser dessus le poussoir visse (3 plateaux), tetes de vis en bas de part et d autre du patin ; poser la cale eventuelle (V4), la pile TETE-BECHE (grand diametre aux deux bouts) puis le coulisseau, tourillon colle dessous a l avance (Loctite 648 dans l alesage degraisse, polymeriser avant montage), cote epais de sa pente vers la chape. De cet encollage a la precharge, tout doit tenir dans la vie en pot de la colle : faire d abord les etapes 2 a 5 et preparer la visserie. Si elle est trop courte, coller le patin de charge la veille sur la poutrelle, centre au trace, sous une masse.</t>
        </is>
      </c>
    </row>
    <row r="13">
      <c r="A13" s="4" t="n">
        <v>10</v>
      </c>
      <c r="B13" s="3" t="inlineStr">
        <is>
          <t>Second flanc. Le presenter face gravee DESSUS : il enfile les 9 vis, les tenons de la traverse et la poutrelle dans sa fenetre. Poser les 7 ecrous V1 sur rondelle, serres sans bloquer.</t>
        </is>
      </c>
    </row>
    <row r="14">
      <c r="A14" s="4" t="n">
        <v>11</v>
      </c>
      <c r="B14" s="3" t="inlineStr">
        <is>
          <t>Chape. Enfiler sur les deux vis V8 les entretoises de butee de 71,5, puis le sous-ensemble de chape, la vis passant par la fente du coin ; 4 rondelles et un ecrou H par vis, 25 N.m, puis le contre-ecrou H bloque contre lui en tenant le premier.</t>
        </is>
      </c>
    </row>
    <row r="15">
      <c r="A15" s="4" t="n">
        <v>12</v>
      </c>
      <c r="B15" s="3" t="inlineStr">
        <is>
          <t>Pieds. Dresser le cadre et le poser dans ses deux pieds couches, encoche dans encoche : les nodes serrent de 0,1 par cote, chasser au maillet. Bloquer les V1 a 25 N.m. La poutrelle, sans patins, repose sur les bossages.</t>
        </is>
      </c>
    </row>
    <row r="16">
      <c r="A16" s="4" t="n">
        <v>13</v>
      </c>
      <c r="B16" s="3" t="inlineStr">
        <is>
          <t>Patins d appui, coin non engage. Soulever la poutrelle d environ 9,5 mm, glisser les 4 patins par la fenetre, rainure SECHE sur le bossage (c est un balancier, il doit basculer) et colle sur la face superieure seulement, contre le plat ; reposer.</t>
        </is>
      </c>
    </row>
    <row r="17">
      <c r="A17" s="4" t="n">
        <v>14</v>
      </c>
      <c r="B17" s="3" t="inlineStr">
        <is>
          <t>Guides. Visser les 4 CHC M8 x 12 au travers des lumieres dans les taraudages du coulisseau. C est la TETE qui guide : jamais de vis a tete fraisee.</t>
        </is>
      </c>
    </row>
    <row r="18">
      <c r="A18" s="4" t="n">
        <v>15</v>
      </c>
      <c r="B18" s="3" t="inlineStr">
        <is>
          <t>Coin. Pate cuivre dans son taraudage ; l engager du cote des tetes de V8, bout MINCE en premier, par la fente du flanc, entre la traverse et le coulisseau ; visser la vis jusqu au contact. Le bout epais doit alors etre a moins de 5 mm de sa position de repos, 47,5 mm hors de la face exterieure du flanc ; sinon revoir les cales (etape 5).</t>
        </is>
      </c>
    </row>
    <row r="19">
      <c r="A19" s="4" t="n">
        <v>16</v>
      </c>
      <c r="B19" s="3" t="inlineStr">
        <is>
          <t>Precharge. 0,84 tour de vis au dela du contact (0,36 mm de pile, 1,7 mm de coin) donne 0,5 kN. Laisser polymeriser sous cette precharge : l epoxy rattrape l hyperstaticite des quatre appuis. Post-cuire selon la notice Duralco avant toute mise en charge.</t>
        </is>
      </c>
    </row>
    <row r="20">
      <c r="A20" s="4" t="n">
        <v>17</v>
      </c>
      <c r="B20" s="3" t="inlineStr">
        <is>
          <t>Etalonnage. Etalonner la graduation de charge sur presse, ou par la fibre de la membrure.</t>
        </is>
      </c>
    </row>
    <row r="22">
      <c r="A22" s="1" t="inlineStr">
        <is>
          <t>Position debout, dans l'etuve</t>
        </is>
      </c>
    </row>
    <row r="24">
      <c r="A24" s="4" t="n">
        <v>1</v>
      </c>
      <c r="B24" s="3" t="inlineStr">
        <is>
          <t>Accrocher d abord les 4 crochets aux parois de l etuve : crochet a l horizontale, engager les trois tetes de langue DE FACE dans leurs trous carres, puis laisser descendre : les becs retombent derriere la paroi.</t>
        </is>
      </c>
    </row>
    <row r="25">
      <c r="A25" s="4" t="n">
        <v>2</v>
      </c>
      <c r="B25" s="3" t="inlineStr">
        <is>
          <t>Le cadre couche sur ses pieds, engager les deux pieds en V UN PAR UN sur les deux coins d un meme about, chacun chasse le long de sa propre encoche a 38 degres (maillet, nodes). Ils ne se montent pas ensemble : leurs encoches font 76 degres entre elles.</t>
        </is>
      </c>
    </row>
    <row r="26">
      <c r="A26" s="4" t="n">
        <v>3</v>
      </c>
      <c r="B26" s="3" t="inlineStr">
        <is>
          <t>Soulever le cadre hors des pieds couches, qui restent sur la paillasse, et le dresser sur ses pieds en V.</t>
        </is>
      </c>
    </row>
    <row r="27">
      <c r="A27" s="4" t="n">
        <v>4</v>
      </c>
      <c r="B27" s="3" t="inlineStr">
        <is>
          <t>L entrer dans l etuve vis vers la porte, pieds tenus 5 mm au dessus des appuis jusqu au fond, puis descendre les quatre fentes des pieds sur les dents des crochets.</t>
        </is>
      </c>
    </row>
    <row r="28">
      <c r="A28" s="4" t="n">
        <v>5</v>
      </c>
      <c r="B28" s="3" t="inlineStr">
        <is>
          <t>Calage de la poutrelle debout : point ouvert, assume (voir DEBOUT.md, paragraphe 6).</t>
        </is>
      </c>
    </row>
    <row r="30">
      <c r="A30" s="1" t="inlineStr">
        <is>
          <t>Changement d'eprouvette</t>
        </is>
      </c>
    </row>
    <row r="32">
      <c r="B32" s="11" t="inlineStr">
        <is>
          <t>Les plats, les patins d appui et le patin de charge sont colles sur la poutrelle et partent avec elle : il faut un jeu neuf par eprouvette (4 patins d appui, 1 patin de charge, 2 plats ; colle). Le poussoir visse porte sur le patin de charge, centre par le tourillon, et la tete ne peut remonter que de 9,9 avant que le coulisseau touche les entretoises de chape : l eprouvette ne sort pas cadre ferme, on rouvre le flanc cote chape.</t>
        </is>
      </c>
    </row>
    <row r="33">
      <c r="A33" s="4" t="n">
        <v>1</v>
      </c>
      <c r="B33" s="3" t="inlineStr">
        <is>
          <t>Decharger : devisser la vis jusqu a liberer la pile, puis jusqu a degager le filet ; sortir le coin du cote des tetes de V8.</t>
        </is>
      </c>
    </row>
    <row r="34">
      <c r="A34" s="4" t="n">
        <v>2</v>
      </c>
      <c r="B34" s="3" t="inlineStr">
        <is>
          <t>Deposer les 4 guides. Sortir le cadre de l etuve ou de ses pieds et le coucher a plat, chape en haut, sur cales de 20.</t>
        </is>
      </c>
    </row>
    <row r="35">
      <c r="A35" s="4" t="n">
        <v>3</v>
      </c>
      <c r="B35" s="3" t="inlineStr">
        <is>
          <t>Deposer les ecrous et rondelles des deux V8, le sous-ensemble de chape d un bloc (platines et vis), puis les deux entretoises de butee.</t>
        </is>
      </c>
    </row>
    <row r="36">
      <c r="A36" s="4" t="n">
        <v>4</v>
      </c>
      <c r="B36" s="3" t="inlineStr">
        <is>
          <t>Deposer les 7 ecrous V1 et soulever le flanc cote chape.</t>
        </is>
      </c>
    </row>
    <row r="37">
      <c r="A37" s="4" t="n">
        <v>5</v>
      </c>
      <c r="B37" s="3" t="inlineStr">
        <is>
          <t>Sortir l eprouvette avec sa tete de charge ; sur l etabli, soulever le poussoir visse, qui resservira tel quel : le patin de charge reste colle sur la poutrelle.</t>
        </is>
      </c>
    </row>
    <row r="38">
      <c r="A38" s="4" t="n">
        <v>6</v>
      </c>
      <c r="B38" s="3" t="inlineStr">
        <is>
          <t>Remonter la nouvelle eprouvette, preparee aux etapes 1 et 5 de l ordre de montage, en reprenant a l etape 8 : le premier flanc a garde ses vis, ses entretoises et la traverse.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2026-10-07T16:17:48Z</dcterms:created>
  <dcterms:modified xsi:type="dcterms:W3CDTF">2026-10-07T16:17:48Z</dcterms:modified>
</cp:coreProperties>
</file>